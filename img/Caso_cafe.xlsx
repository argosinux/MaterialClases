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gos_oei97z9\Downloads\"/>
    </mc:Choice>
  </mc:AlternateContent>
  <xr:revisionPtr revIDLastSave="0" documentId="13_ncr:1_{83AD3660-1233-451A-8CE4-B66D59EC2801}" xr6:coauthVersionLast="47" xr6:coauthVersionMax="47" xr10:uidLastSave="{00000000-0000-0000-0000-000000000000}"/>
  <bookViews>
    <workbookView xWindow="-108" yWindow="-108" windowWidth="23256" windowHeight="13176" tabRatio="799" firstSheet="3" activeTab="8" xr2:uid="{00000000-000D-0000-FFFF-FFFF00000000}"/>
  </bookViews>
  <sheets>
    <sheet name="Guía" sheetId="1" r:id="rId1"/>
    <sheet name="Buyer Persona" sheetId="2" r:id="rId2"/>
    <sheet name="Reseñas y Encuesta" sheetId="3" r:id="rId3"/>
    <sheet name="Respuestas Encuesta" sheetId="4" r:id="rId4"/>
    <sheet name="Indicadores" sheetId="5" r:id="rId5"/>
    <sheet name="Customer Journey Map" sheetId="6" r:id="rId6"/>
    <sheet name="Customer Journey Map (To Be)" sheetId="7" r:id="rId7"/>
    <sheet name="Service Blueprint" sheetId="8" r:id="rId8"/>
    <sheet name="Insights y Oportunidade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5" l="1"/>
  <c r="B40" i="5"/>
  <c r="B39" i="5"/>
  <c r="B38" i="5"/>
  <c r="B37" i="5"/>
  <c r="B42" i="5" s="1"/>
  <c r="C42" i="5" s="1"/>
  <c r="B28" i="5"/>
  <c r="B27" i="5"/>
  <c r="C19" i="5"/>
  <c r="B19" i="5"/>
  <c r="D19" i="5" s="1"/>
  <c r="E19" i="5" s="1"/>
  <c r="C18" i="5"/>
  <c r="B18" i="5"/>
  <c r="D18" i="5" s="1"/>
  <c r="E18" i="5" s="1"/>
  <c r="C17" i="5"/>
  <c r="B17" i="5"/>
  <c r="D17" i="5" s="1"/>
  <c r="E17" i="5" s="1"/>
  <c r="C16" i="5"/>
  <c r="B16" i="5"/>
  <c r="D16" i="5" s="1"/>
  <c r="E16" i="5" s="1"/>
  <c r="C15" i="5"/>
  <c r="B15" i="5"/>
  <c r="D15" i="5" s="1"/>
  <c r="E15" i="5" s="1"/>
  <c r="B11" i="5"/>
  <c r="D11" i="5" s="1"/>
  <c r="B10" i="5"/>
  <c r="D10" i="5" s="1"/>
  <c r="B9" i="5"/>
  <c r="D9" i="5" s="1"/>
  <c r="B8" i="5"/>
  <c r="D8" i="5" s="1"/>
  <c r="B7" i="5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B26" i="5" s="1"/>
  <c r="E8" i="4"/>
  <c r="E7" i="4"/>
  <c r="E6" i="4"/>
  <c r="D28" i="3"/>
  <c r="D27" i="3"/>
  <c r="D26" i="3"/>
  <c r="B29" i="5" l="1"/>
  <c r="B31" i="5" s="1"/>
  <c r="C31" i="5" s="1"/>
  <c r="C26" i="5"/>
  <c r="C27" i="5"/>
  <c r="C28" i="5"/>
</calcChain>
</file>

<file path=xl/sharedStrings.xml><?xml version="1.0" encoding="utf-8"?>
<sst xmlns="http://schemas.openxmlformats.org/spreadsheetml/2006/main" count="826" uniqueCount="545">
  <si>
    <t>Café Aurora — Perfil de Cliente y Experiencia</t>
  </si>
  <si>
    <t>Cómo usar este archivo</t>
  </si>
  <si>
    <t>Pestaña</t>
  </si>
  <si>
    <t>Contenido</t>
  </si>
  <si>
    <t>Qué hacer</t>
  </si>
  <si>
    <t>Buyer Persona</t>
  </si>
  <si>
    <t>Ficha de Carla Núñez, persona ficticia que representa al segmento de clientes habituales que desayunan/meriendan en el local: datos generales, objetivos, frustraciones (ligadas a los hallazgos), motivaciones y factores de decisión.</t>
  </si>
  <si>
    <t>Usar como referencia rápida de 'para quién' se diseña el resto del archivo (reseñas, CJM, blueprint).</t>
  </si>
  <si>
    <t>Reseñas y Encuesta</t>
  </si>
  <si>
    <t>Reseñas ficticias de Google Maps e Instagram, construidas para ilustrar 5 hallazgos típicos de una cafetería de barrio, y agregados de la encuesta (NPS, CSAT, CES) calculados desde 'Respuestas Encuesta'.</t>
  </si>
  <si>
    <t>Las reseñas ya están cargadas. Los agregados de encuesta se recalculan solos cuando actualices la base de respuestas.</t>
  </si>
  <si>
    <t>Respuestas Encuesta</t>
  </si>
  <si>
    <t>Base de 50 respuestas individuales de una encuesta exploratoria (dato de prueba/ficticio): NPS, CSAT, CES, aspecto valorado, categoría asociada y comentario.</t>
  </si>
  <si>
    <t>Reemplazar estas 50 filas por datos reales cuando existan; el resto del archivo se recalcula automáticamente.</t>
  </si>
  <si>
    <t>Indicadores</t>
  </si>
  <si>
    <t>Métricas calculadas automáticamente a partir de las reseñas y de las 50 respuestas de encuesta: rating promedio, % positivas/negativas, menciones por categoría, NPS y CSAT, cada uno con su definición e interpretación del resultado obtenido.</t>
  </si>
  <si>
    <t>No requiere carga manual: todo se recalcula solo desde 'Reseñas y Encuesta' y 'Respuestas Encuesta'.</t>
  </si>
  <si>
    <t>Customer Journey Map</t>
  </si>
  <si>
    <t>Mapa As Is de las 5 etapas / 10 subetapas del recorrido del cliente: descripción de cada etapa, touchpoints, acciones, emociones, dolores y oportunidades por subetapa.</t>
  </si>
  <si>
    <t>Base para trabajar en clase o ajustar con el grupo. Cada columna cita la evidencia de la que sale (reseña / hallazgo).</t>
  </si>
  <si>
    <t>Customer Journey Map (To Be)</t>
  </si>
  <si>
    <t>Misma estructura que el As Is, pero con el recorrido deseado: touchpoints mejorados, emociones esperadas, la mejora que resuelve cada dolor y el KPI para medirla.</t>
  </si>
  <si>
    <t>Usar para diseñar el plan de mejora; cada subetapa está vinculada al hallazgo del As Is que resuelve.</t>
  </si>
  <si>
    <t>Service Blueprint</t>
  </si>
  <si>
    <t>Complementa el CJM As Is con la vista interna del servicio: evidencia física, acciones del cliente, frontstage, backstage, procesos de soporte y punto de fallo potencial por subetapa.</t>
  </si>
  <si>
    <t>Usar para identificar qué proceso o sistema interno hay que ajustar para resolver cada punto de dolor del CJM.</t>
  </si>
  <si>
    <t>Insights y Oportunidades</t>
  </si>
  <si>
    <t>Síntesis de los 5 hallazgos con nivel de impacto y prioridad sugerida.</t>
  </si>
  <si>
    <t>Usar como tablero de priorización; el campo Prioridad tiene lista desplegable.</t>
  </si>
  <si>
    <t>Convención de colores</t>
  </si>
  <si>
    <t xml:space="preserve">  </t>
  </si>
  <si>
    <t>Celda para completar (input del usuario / dato de la encuesta)</t>
  </si>
  <si>
    <t>Indicador o comentario en rango positivo</t>
  </si>
  <si>
    <t>Indicador o comentario en rango negativo / de atención</t>
  </si>
  <si>
    <t>Buyer Persona — Carla Núñez (perfil ficticio)</t>
  </si>
  <si>
    <t>Representa al segmento de clientes habituales que desayunan/meriendan en el local (Café Aurora)</t>
  </si>
  <si>
    <t>Datos generales</t>
  </si>
  <si>
    <t>Nombre (ficticio)</t>
  </si>
  <si>
    <t>Carla Núñez</t>
  </si>
  <si>
    <t>Edad</t>
  </si>
  <si>
    <t>34 años</t>
  </si>
  <si>
    <t>Ubicación</t>
  </si>
  <si>
    <t>Villa Crespo, CABA</t>
  </si>
  <si>
    <t>Ocupación</t>
  </si>
  <si>
    <t>Diseñadora gráfica freelance</t>
  </si>
  <si>
    <t>Estado civil</t>
  </si>
  <si>
    <t>Soltera</t>
  </si>
  <si>
    <t>Segmento</t>
  </si>
  <si>
    <t>Clientes habituales que desayunan/meriendan en el local (mayor potencial de fidelización)</t>
  </si>
  <si>
    <t>Nivel socioeconómico</t>
  </si>
  <si>
    <t>Medio</t>
  </si>
  <si>
    <t>Rango etario del segmento</t>
  </si>
  <si>
    <t>25 a 55 años</t>
  </si>
  <si>
    <t>Frecuencia de visita</t>
  </si>
  <si>
    <t>3 a 4 veces por semana</t>
  </si>
  <si>
    <t>"Vengo por el café, pero me quedo por cómo me tratan."</t>
  </si>
  <si>
    <t>Bio / Contexto</t>
  </si>
  <si>
    <t>Carla trabaja desde casa la mayor parte de la semana, así que salir a tomar un café es también una forma de cambiar de aire y ver caras conocidas del barrio. Va a Café Aurora porque le queda a diez cuadras y porque, con el tiempo, terminó conociendo a varios de los baristas por nombre. No busca el lugar 'de moda': valora la rutina, la calidad constante del café y sentirse bien recibida. A veces se queda un rato largo con la notebook si el lugar no está muy lleno, aunque trata de no abusar en los horarios pico.</t>
  </si>
  <si>
    <t>Objetivos</t>
  </si>
  <si>
    <t>•  Empezar el día con un buen café cerca de casa, sin complicarse.</t>
  </si>
  <si>
    <t>•  Tener un lugar de rutina donde se sienta reconocida.</t>
  </si>
  <si>
    <t>•  Poder trabajar un rato tranquila cuando lo necesita, sin sentirse una molestia.</t>
  </si>
  <si>
    <t>Frustraciones (ligadas a los hallazgos)</t>
  </si>
  <si>
    <t>Frustración</t>
  </si>
  <si>
    <t>Hallazgo relacionado</t>
  </si>
  <si>
    <t>Las filas largas en hora pico a veces le hacen perder tiempo antes de ir a trabajar.</t>
  </si>
  <si>
    <t>Hallazgo 2</t>
  </si>
  <si>
    <t>Una vez le erraron el pedido para llevar y no hubo una disculpa clara.</t>
  </si>
  <si>
    <t>Hallazgo 3</t>
  </si>
  <si>
    <t>Siente que los precios subieron más de lo que mejoró la experiencia.</t>
  </si>
  <si>
    <t>Hallazgo 5</t>
  </si>
  <si>
    <t>Consultó por Instagram si podían reservarle una mesa grande para un cumpleaños y no le contestaron.</t>
  </si>
  <si>
    <t>Hallazgo 4</t>
  </si>
  <si>
    <t>Motivaciones</t>
  </si>
  <si>
    <t>•  La rutina y la cercanía con su casa/trabajo.</t>
  </si>
  <si>
    <t>•  La calidad constante del café, más que la variedad del menú.</t>
  </si>
  <si>
    <t>•  El trato cálido y personalizado del personal.</t>
  </si>
  <si>
    <t>•  Recomendaciones de vecinos y buenas reseñas en Google Maps.</t>
  </si>
  <si>
    <t>Canales digitales que usa</t>
  </si>
  <si>
    <t>Instagram (para ver novedades y hacer consultas rápidas), Google Maps (para leer y dejar reseñas), WhatsApp (para consultas puntuales) y recomendaciones boca a boca del barrio.</t>
  </si>
  <si>
    <t>Factores de decisión (de mayor a menor peso)</t>
  </si>
  <si>
    <t>1. Cercanía / comodidad respecto de su casa o lugar de trabajo.</t>
  </si>
  <si>
    <t>2. Calidad constante del café.</t>
  </si>
  <si>
    <t>3. Trato cálido y personalizado del personal.</t>
  </si>
  <si>
    <t>4. Precio: lo nota y lo compara, pero no es el criterio principal mientras la experiencia se sostenga.</t>
  </si>
  <si>
    <t>Relación con la marca Café Aurora</t>
  </si>
  <si>
    <t>A diferencia de un vínculo atado a un profesional puntual (como en el caso de Clínica Bermejo), la lealtad de Carla está más ligada a la sucursal y a la rutina del barrio que a un barista en particular: si su barista favorito se va, probablemente siga yendo igual. Eso es una oportunidad para Café Aurora: reforzar la marca y un programa de fidelidad puede consolidar una lealtad que ya existe, en vez de tener que construirla desde cero.</t>
  </si>
  <si>
    <t>Voz del Cliente — Reseñas (Google Maps / Instagram) y Encuesta Exploratoria</t>
  </si>
  <si>
    <t>Segmento analizado: clientes habituales que desayunan/meriendan en el local (caso ficticio, Café Aurora)</t>
  </si>
  <si>
    <t>#</t>
  </si>
  <si>
    <t>Fuente</t>
  </si>
  <si>
    <t>Autor</t>
  </si>
  <si>
    <t>Calificación (1-5)</t>
  </si>
  <si>
    <t>Antigüedad</t>
  </si>
  <si>
    <t>Comentario (resumen)</t>
  </si>
  <si>
    <t>Categoría / Hallazgo</t>
  </si>
  <si>
    <t>Sentimiento</t>
  </si>
  <si>
    <t>Google Maps</t>
  </si>
  <si>
    <t>Rocío Paredes</t>
  </si>
  <si>
    <t>Hace 1 año</t>
  </si>
  <si>
    <t>El café es excelente y las chicas del mostrador siempre te saludan por tu nombre. Vengo casi todos los días.</t>
  </si>
  <si>
    <t>1) Calidad y atención generan fidelidad</t>
  </si>
  <si>
    <t>Positivo</t>
  </si>
  <si>
    <t>Nahuel Vidal</t>
  </si>
  <si>
    <t>Hace 8 meses</t>
  </si>
  <si>
    <t>Las medialunas siempre frescas y el cortado es de los mejores del barrio.</t>
  </si>
  <si>
    <t>Milagros Funes</t>
  </si>
  <si>
    <t>Hace 2 años</t>
  </si>
  <si>
    <t>El barista se acuerda de mi pedido apenas entro. Se siente como en casa.</t>
  </si>
  <si>
    <t>Reseña sin nombre (cita textual)</t>
  </si>
  <si>
    <t>N/D</t>
  </si>
  <si>
    <t>"Es mi segunda oficina, el café es rico y el personal buenísimo."</t>
  </si>
  <si>
    <t>Federico Salas</t>
  </si>
  <si>
    <t>Hace 4 meses</t>
  </si>
  <si>
    <t>El café buenísimo, pero a la mañana hay que hacer mucha fila y a veces se demoran 15-20 minutos.</t>
  </si>
  <si>
    <t>2) Rapidez del servicio en hora pico</t>
  </si>
  <si>
    <t>Mixto</t>
  </si>
  <si>
    <t>Ayelén Torres</t>
  </si>
  <si>
    <t>Hace 6 meses</t>
  </si>
  <si>
    <t>Pedí un café para llevar y tardaron muchísimo, casi pierdo el colectivo.</t>
  </si>
  <si>
    <t>Negativo</t>
  </si>
  <si>
    <t>Bruno Cabral</t>
  </si>
  <si>
    <t>Hace 3 meses</t>
  </si>
  <si>
    <t>Pedí por la app de delivery y me mandaron un producto distinto al que pedí. Cuando reclamé no me dieron una solución clara.</t>
  </si>
  <si>
    <t>3) Errores en la gestión de pedidos</t>
  </si>
  <si>
    <t>Yamila Ríos</t>
  </si>
  <si>
    <t>Hace 2 meses</t>
  </si>
  <si>
    <t>Pedí mi café con leche deslactosada para llevar y me dieron leche común. No se disculparon.</t>
  </si>
  <si>
    <t>Julián Peralta</t>
  </si>
  <si>
    <t>Hace 5 meses</t>
  </si>
  <si>
    <t>Quise reservar una mesa grande para un cumpleaños y no supieron decirme si se podía. Terminamos yendo a otro lado.</t>
  </si>
  <si>
    <t>4) Oportunidad en reservas y consultas digitales</t>
  </si>
  <si>
    <t>Instagram</t>
  </si>
  <si>
    <t>Varios usuarios (consultas espontáneas)</t>
  </si>
  <si>
    <t>Varios comentarios preguntando horarios y ubicación de nuevas sucursales, sin respuesta visible.</t>
  </si>
  <si>
    <t>Camila Ortiz</t>
  </si>
  <si>
    <t>Hace 1 mes</t>
  </si>
  <si>
    <t>Subieron mucho los precios y las porciones son cada vez más chicas. Ya no es la relación precio-calidad de antes.</t>
  </si>
  <si>
    <t>5) Percepción de precio-valor</t>
  </si>
  <si>
    <t>Ezequiel Domínguez</t>
  </si>
  <si>
    <t>Hace 3 semanas</t>
  </si>
  <si>
    <t>Me encanta el lugar pero se está poniendo caro para ir tan seguido.</t>
  </si>
  <si>
    <t>Lourdes Aguirre</t>
  </si>
  <si>
    <t>Hace 7 meses</t>
  </si>
  <si>
    <t>La atención es siempre cálida, aunque haya cola te hacen sentir bienvenido.</t>
  </si>
  <si>
    <t>Nota: reseñas 100% ficticias, redactadas para ilustrar 5 hallazgos típicos de una cafetería de barrio (Fuente simulada: Google Maps e Instagram). Las calificaciones en estrellas de Instagram no aplican (N/D).</t>
  </si>
  <si>
    <t>Encuesta exploratoria de percepción de clientes</t>
  </si>
  <si>
    <t>Los valores de abajo se calculan automáticamente a partir de las 50 respuestas cargadas en la pestaña 'Respuestas Encuesta' (dato de prueba/ficticio).</t>
  </si>
  <si>
    <t>Pregunta de la encuesta</t>
  </si>
  <si>
    <t>Tipo de respuesta</t>
  </si>
  <si>
    <t>Respuesta / Valor</t>
  </si>
  <si>
    <t>Escala</t>
  </si>
  <si>
    <t>¿Con qué probabilidad recomendarías Café Aurora a un familiar o amigo?</t>
  </si>
  <si>
    <t>Numérica (NPS)</t>
  </si>
  <si>
    <t>0 a 10</t>
  </si>
  <si>
    <t>¿Cómo calificarías tu satisfacción general con la atención recibida?</t>
  </si>
  <si>
    <t>Numérica (CSAT)</t>
  </si>
  <si>
    <t>1 a 5</t>
  </si>
  <si>
    <t>¿Qué tan rápido te atendieron?</t>
  </si>
  <si>
    <t>Numérica (CES simplificado)</t>
  </si>
  <si>
    <t>¿Qué aspecto valorás más del lugar?</t>
  </si>
  <si>
    <t>Abierta / opción múltiple</t>
  </si>
  <si>
    <t>Ver detalle por respuesta en la pestaña 'Respuestas Encuesta', columna H</t>
  </si>
  <si>
    <t>Texto</t>
  </si>
  <si>
    <t>¿Qué mejorarías de tu experiencia?</t>
  </si>
  <si>
    <t>Abierta</t>
  </si>
  <si>
    <t>Ver comentario y categoría asociada en la pestaña 'Respuestas Encuesta', columnas I-J</t>
  </si>
  <si>
    <t>⚠ Los promedios de arriba dependen de los datos de prueba (ficticios) cargados en 'Respuestas Encuesta'. Al reemplazar esa base por datos reales, estos valores se actualizan solos.</t>
  </si>
  <si>
    <t>Respuestas Individuales — Encuesta Exploratoria de Clientes</t>
  </si>
  <si>
    <t>Base de 50 respuestas simuladas para practicar el cálculo de NPS, CSAT y CES (caso ficticio, Café Aurora)</t>
  </si>
  <si>
    <t>⚠ Estas 50 respuestas son datos de prueba (ficticios), generados para completar el ejercicio. Reemplazar por datos reales cuando existan; el resto del archivo (pestañas 'Reseñas y Encuesta' e 'Indicadores') se recalcula solo.</t>
  </si>
  <si>
    <t>ID</t>
  </si>
  <si>
    <t>Fecha</t>
  </si>
  <si>
    <t>Canal</t>
  </si>
  <si>
    <t>NPS (0-10)</t>
  </si>
  <si>
    <t>Clasificación NPS</t>
  </si>
  <si>
    <t>CSAT (1-5)</t>
  </si>
  <si>
    <t>CES (1-5)</t>
  </si>
  <si>
    <t>Aspecto más valorado</t>
  </si>
  <si>
    <t>Categoría asociada (hallazgo)</t>
  </si>
  <si>
    <t>R001</t>
  </si>
  <si>
    <t>Calidez de la atención</t>
  </si>
  <si>
    <t>Sin comentario asociado</t>
  </si>
  <si>
    <t>Ninguna observación puntual.</t>
  </si>
  <si>
    <t>R002</t>
  </si>
  <si>
    <t>Formulario en el local</t>
  </si>
  <si>
    <t>Tardan mucho cuando hay mucha gente.</t>
  </si>
  <si>
    <t>R003</t>
  </si>
  <si>
    <t>Calidad del café</t>
  </si>
  <si>
    <t>La atención del personal es lo mejor del lugar.</t>
  </si>
  <si>
    <t>R004</t>
  </si>
  <si>
    <t>WhatsApp</t>
  </si>
  <si>
    <t>Ambiente del local</t>
  </si>
  <si>
    <t>-</t>
  </si>
  <si>
    <t>R005</t>
  </si>
  <si>
    <t>Rapidez del servicio</t>
  </si>
  <si>
    <t>Me encanta que se acuerden de mi pedido.</t>
  </si>
  <si>
    <t>R006</t>
  </si>
  <si>
    <t>Las porciones son cada vez más chicas para lo que cuesta.</t>
  </si>
  <si>
    <t>R007</t>
  </si>
  <si>
    <t>Relación precio-valor</t>
  </si>
  <si>
    <t>R008</t>
  </si>
  <si>
    <t>En hora pico el servicio se hace lento.</t>
  </si>
  <si>
    <t>R009</t>
  </si>
  <si>
    <t>El café es riquísimo y el trato siempre cálido.</t>
  </si>
  <si>
    <t>R010</t>
  </si>
  <si>
    <t>Pedí por delivery y llegó algo distinto.</t>
  </si>
  <si>
    <t>R011</t>
  </si>
  <si>
    <t>A la mañana hay que esperar bastante.</t>
  </si>
  <si>
    <t>R012</t>
  </si>
  <si>
    <t>R013</t>
  </si>
  <si>
    <t>Otro</t>
  </si>
  <si>
    <t>No supieron decirme si podía reservar una mesa grande.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</si>
  <si>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</si>
  <si>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</si>
  <si>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</si>
  <si>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</si>
  <si>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</si>
  <si>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</si>
  <si>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</si>
  <si>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</si>
  <si>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</si>
  <si>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</si>
  <si>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</si>
  <si>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Siento que subieron mucho los precios.</t>
  </si>
  <si>
    <t>R025</t>
  </si>
  <si>
    <t>R026</t>
  </si>
  <si>
    <t>R027</t>
  </si>
  <si>
    <t>R028</t>
  </si>
  <si>
    <t>R029</t>
  </si>
  <si>
    <t>Tuve un error en mi pedido para llevar.</t>
  </si>
  <si>
    <t>R030</t>
  </si>
  <si>
    <t>R031</t>
  </si>
  <si>
    <t>R032</t>
  </si>
  <si>
    <t>R033</t>
  </si>
  <si>
    <t>Todo bien, sin comentarios.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</si>
  <si>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</si>
  <si>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</si>
  <si>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</si>
  <si>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</si>
  <si>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</si>
  <si>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</si>
  <si>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</si>
  <si>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</si>
  <si>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</si>
  <si>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</si>
  <si>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</si>
  <si>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</si>
  <si>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</si>
  <si>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</si>
  <si>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</si>
  <si>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</si>
  <si>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</si>
  <si>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Indicadores de Experiencia del Cliente</t>
  </si>
  <si>
    <t>Parte se calcula automáticamente desde 'Reseñas y Encuesta'; NPS/CSAT desde 'Respuestas Encuesta'</t>
  </si>
  <si>
    <t>⚠ El NPS y el CSAT se calculan automáticamente a partir de las 50 respuestas (datos de prueba/ficticios) de la pestaña 'Respuestas Encuesta'. Reemplazá esa base cuando tengas los datos reales.</t>
  </si>
  <si>
    <t>1. Indicadores calculados a partir de reseñas (Google Maps + Instagram)</t>
  </si>
  <si>
    <t>Indicador</t>
  </si>
  <si>
    <t>Resultado</t>
  </si>
  <si>
    <t>¿Qué mide?</t>
  </si>
  <si>
    <t>Cómo interpretar el resultado obtenido</t>
  </si>
  <si>
    <t>Cantidad de reseñas relevadas</t>
  </si>
  <si>
    <t>Cantidad total de reseñas de Google Maps e Instagram registradas en la pestaña 'Reseñas y Encuesta'.</t>
  </si>
  <si>
    <t>—</t>
  </si>
  <si>
    <t>Calificación promedio (solo reseñas con estrellas)</t>
  </si>
  <si>
    <t>Promedio de estrellas (escala 1 a 5) de las reseñas de Google Maps que incluyen calificación numérica.</t>
  </si>
  <si>
    <t>% Reseñas positivas</t>
  </si>
  <si>
    <t>Proporción de reseñas cuyo tono general fue clasificado como positivo en 'Reseñas y Encuesta'.</t>
  </si>
  <si>
    <t>% Reseñas negativas</t>
  </si>
  <si>
    <t>Proporción de reseñas cuyo tono general fue clasificado como negativo en 'Reseñas y Encuesta'.</t>
  </si>
  <si>
    <t>% Reseñas mixtas</t>
  </si>
  <si>
    <t>Proporción de reseñas que combinan aspectos positivos y negativos en el mismo comentario.</t>
  </si>
  <si>
    <t>Menciones por categoría — reseñas + encuesta (50 respuestas)</t>
  </si>
  <si>
    <t>Categoría</t>
  </si>
  <si>
    <t>Menciones en reseñas</t>
  </si>
  <si>
    <t>Menciones en encuesta</t>
  </si>
  <si>
    <t>Total combinado</t>
  </si>
  <si>
    <t>% del total combinado</t>
  </si>
  <si>
    <t>¿Qué implica este hallazgo?</t>
  </si>
  <si>
    <t>La calidad del café y el trato cálido y personalizado del personal son el principal generador de lealtad del cliente.</t>
  </si>
  <si>
    <t>En horario pico, las filas y demoras generan pérdida de tiempo y frustración, incluso cuando el producto es bueno.</t>
  </si>
  <si>
    <t>Existen errores recurrentes en pedidos para llevar y por apps de delivery, sin una resolución clara ante el reclamo.</t>
  </si>
  <si>
    <t>Las consultas por redes sociales sobre horarios, sucursales o reservas grupales no siempre reciben respuesta.</t>
  </si>
  <si>
    <t>Parte de los clientes percibe que los precios subieron más que la calidad o las porciones.</t>
  </si>
  <si>
    <t>2. NPS (Net Promoter Score) — calculado desde 'Respuestas Encuesta' (n=50)</t>
  </si>
  <si>
    <t>¿Qué mide? La disposición a recomendar Café Aurora: resulta de restar el % de detractores al % de promotores (rango de -100% a 100%), a partir de la pregunta '¿qué probabilidad hay de que nos recomiendes?' (escala 0 a 10).</t>
  </si>
  <si>
    <t>Concepto</t>
  </si>
  <si>
    <t>Cantidad de respuestas</t>
  </si>
  <si>
    <t>% sobre el total</t>
  </si>
  <si>
    <t>¿Qué significa este grupo?</t>
  </si>
  <si>
    <t>Promotores (calificación 9-10)</t>
  </si>
  <si>
    <t>Clientes entusiastas y leales: probablemente recomienden el lugar de forma espontánea.</t>
  </si>
  <si>
    <t>Pasivos (calificación 7-8)</t>
  </si>
  <si>
    <t>Clientes conformes pero poco entusiastas: vulnerables a probar otras cafeterías del barrio.</t>
  </si>
  <si>
    <t>Detractores (calificación 0-6)</t>
  </si>
  <si>
    <t>Clientes insatisfechos: pueden dañar la reputación del local con comentarios negativos.</t>
  </si>
  <si>
    <t>Total de respuestas</t>
  </si>
  <si>
    <t>Tamaño de la muestra (n) sobre la que se calculan los porcentajes de arriba: cuanto mayor sea, más confiable es el resultado.</t>
  </si>
  <si>
    <t>NPS = % Promotores − % Detractores</t>
  </si>
  <si>
    <t>3. CSAT (Satisfacción, escala 1-5) — calculado desde 'Respuestas Encuesta' (n=50)</t>
  </si>
  <si>
    <t>¿Qué mide? El % de encuestados satisfechos: quienes calificaron su atención con 4 o 5 sobre 5. El benchmark habitual en gastronomía/cafeterías ronda el 80%.</t>
  </si>
  <si>
    <t>Calificación</t>
  </si>
  <si>
    <t>CSAT (% calificaciones 4 y 5)</t>
  </si>
  <si>
    <t>Customer Journey Map (As Is) — Cliente Habitué de Café Aurora</t>
  </si>
  <si>
    <t>Estado actual del recorrido, con detalle por subetapa | Café Aurora (caso ficticio) | clientes habituales, 25-55 años, CABA</t>
  </si>
  <si>
    <t>Etapa</t>
  </si>
  <si>
    <t>1. Descubrimiento</t>
  </si>
  <si>
    <t>2. Ingreso y pedido</t>
  </si>
  <si>
    <t>3. Espera y consumo</t>
  </si>
  <si>
    <t>4. Pago y salida</t>
  </si>
  <si>
    <t>5. Postventa y fidelización</t>
  </si>
  <si>
    <t>Subetapa</t>
  </si>
  <si>
    <t>a) Exposición pasiva
(boca a boca, redes)</t>
  </si>
  <si>
    <t>b) Búsqueda activa
(Google Maps, comparación)</t>
  </si>
  <si>
    <t>a) Ingreso y pedido
en mostrador</t>
  </si>
  <si>
    <t>b) Personalización
del pedido</t>
  </si>
  <si>
    <t>a) Espera
del pedido</t>
  </si>
  <si>
    <t>b) Consumo en el local
/ retiro para llevar</t>
  </si>
  <si>
    <t>a) Pago</t>
  </si>
  <si>
    <t>b) Salida / despedida</t>
  </si>
  <si>
    <t>a) Interacción
post-visita (redes, reseñas)</t>
  </si>
  <si>
    <t>b) Fidelización
/ recompra</t>
  </si>
  <si>
    <t>Descripción de la etapa</t>
  </si>
  <si>
    <t>Momento en que el cliente potencial se entera de Café Aurora y decide probarlo, por recomendación de vecinos o búsqueda en redes/Google Maps.</t>
  </si>
  <si>
    <t>El cliente entra al local, hace la fila si corresponde y realiza su pedido en el mostrador.</t>
  </si>
  <si>
    <t>El cliente espera a que le preparen el pedido y luego lo consume en el local o lo retira para llevar.</t>
  </si>
  <si>
    <t>El cliente paga su consumo y se retira del local.</t>
  </si>
  <si>
    <t>Después de la visita, el cliente interactúa con la marca en redes, deja reseñas y decide si vuelve de forma habitual.</t>
  </si>
  <si>
    <t>Touchpoints</t>
  </si>
  <si>
    <t>Comentarios de vecinos, publicaciones de Instagram, paso caminando por el local</t>
  </si>
  <si>
    <t>Google Maps, búsqueda "cafetería cerca"</t>
  </si>
  <si>
    <t>Mostrador, personal de atención / barista</t>
  </si>
  <si>
    <t>Mostrador, app de delivery</t>
  </si>
  <si>
    <t>Zona de espera / barra</t>
  </si>
  <si>
    <t>Mesas del salón, mostrador de retiro</t>
  </si>
  <si>
    <t>Caja, POS/tarjeta, app</t>
  </si>
  <si>
    <t>Personal de salón / mostrador</t>
  </si>
  <si>
    <t>Instagram, Google Maps</t>
  </si>
  <si>
    <t>Rutina semanal, recomendación boca a boca</t>
  </si>
  <si>
    <t>Acciones del cliente</t>
  </si>
  <si>
    <t>Escucha una recomendación o ve el local al pasar; le genera curiosidad</t>
  </si>
  <si>
    <t>Compara calificación, fotos y reseñas antes de decidir ir</t>
  </si>
  <si>
    <t>Hace fila (si hay) y pide en el mostrador</t>
  </si>
  <si>
    <t>Aclara modificaciones (leche deslactosada, para llevar, tamaño)</t>
  </si>
  <si>
    <t>Espera mientras preparan el pedido</t>
  </si>
  <si>
    <t>Se sienta a consumir o retira el pedido y se va</t>
  </si>
  <si>
    <t>Paga su consumo (efectivo, tarjeta o app)</t>
  </si>
  <si>
    <t>Se despide; a veces recibe un saludo personalizado</t>
  </si>
  <si>
    <t>Deja una reseña, comenta una publicación o consulta por eventos/reservas</t>
  </si>
  <si>
    <t>Vuelve de forma habitual y recomienda el lugar a vecinos/conocidos</t>
  </si>
  <si>
    <t>Pensamientos y emociones</t>
  </si>
  <si>
    <t>Curiosidad liviana: "¿probé ese lugar nuevo del barrio?"</t>
  </si>
  <si>
    <t>Interés y comparación: busca señales de calidad y buena atención</t>
  </si>
  <si>
    <t>Expectativa de ser atendido con calidez, como en visitas anteriores</t>
  </si>
  <si>
    <t>Confía en que el pedido se va a preparar tal como lo pidió</t>
  </si>
  <si>
    <t>Impaciencia si la espera es larga, sobre todo si tiene poco tiempo</t>
  </si>
  <si>
    <t>Disfrute genuino si el café y la comida están a la altura de siempre</t>
  </si>
  <si>
    <t>Chequea mentalmente si el precio le pareció justo por lo que recibió</t>
  </si>
  <si>
    <t>Sensación de cierre cálido si lo saludan por su nombre</t>
  </si>
  <si>
    <t>Ganas de compartir una buena experiencia, o de plantear un reclamo si algo salió mal</t>
  </si>
  <si>
    <t>Sensación de pertenencia: "es mi segunda oficina, mi lugar en el barrio"</t>
  </si>
  <si>
    <t>Puntos de dolor</t>
  </si>
  <si>
    <t>Consultas por Instagram sobre horarios o nuevas sucursales sin respuesta visible</t>
  </si>
  <si>
    <t>Reseñas sobre suba de precios pueden generar dudas antes de decidir ir</t>
  </si>
  <si>
    <t>Filas largas y demoras en horario pico</t>
  </si>
  <si>
    <t>Errores en pedidos para llevar o por apps de delivery</t>
  </si>
  <si>
    <t>Falta de comunicación sobre cuánto va a demorar el pedido</t>
  </si>
  <si>
    <t>Mesas ocupadas por mucho tiempo con bajo consumo genera tensión en hora pico</t>
  </si>
  <si>
    <t>Percepción de que el precio subió más que la calidad/porciones</t>
  </si>
  <si>
    <t>Inconsistencia: no todos los turnos/sucursales saludan igual a los habitués</t>
  </si>
  <si>
    <t>Consultas sobre reservas de mesas grandes/eventos sin respuesta clara</t>
  </si>
  <si>
    <t>La fidelidad depende más de la rutina/sucursal que de la marca; la suba de precio puede hacerle bajar la frecuencia</t>
  </si>
  <si>
    <t>Oportunidades</t>
  </si>
  <si>
    <t>Sistematizar respuestas rápidas a consultas espontáneas en Instagram sobre ubicación/horarios</t>
  </si>
  <si>
    <t>Responder públicamente a reseñas sobre precio-valor para despejar dudas</t>
  </si>
  <si>
    <t>Reforzar la dotación de personal en horarios pico y ofrecer pedido anticipado por app</t>
  </si>
  <si>
    <t>Doble check del pedido antes de entregar, sobre todo en pedidos con modificaciones</t>
  </si>
  <si>
    <t>Sistema de aviso (número de orden, notificación) para comunicar tiempos de espera</t>
  </si>
  <si>
    <t>Definir criterios claros y comunicados de uso de mesas en hora pico, sin ahuyentar a los habitués</t>
  </si>
  <si>
    <t>Comunicar de forma transparente los aumentos de precio (insumos, calidad) para sostener la percepción de valor</t>
  </si>
  <si>
    <t>Estandarizar el saludo personalizado a clientes recurrentes entre turnos y sucursales</t>
  </si>
  <si>
    <t>Definir un protocolo simple para reservas grupales/eventos y comunicarlo en redes</t>
  </si>
  <si>
    <t>Programa de fidelidad (sellos, puntos) que refuerce la marca Café Aurora más allá de la sucursal habitual</t>
  </si>
  <si>
    <t>Evidencia / Fuente</t>
  </si>
  <si>
    <t>Comentarios en Instagram sin respuesta sobre horarios de nuevas sucursales (Hallazgo 4)</t>
  </si>
  <si>
    <t>Reseñas sobre suba de precios y porciones más chicas (Hallazgo 5)</t>
  </si>
  <si>
    <t>Reseñas sobre 15-20 minutos de espera en la mañana (Hallazgo 2)</t>
  </si>
  <si>
    <t>Reseñas sobre error de pedido con leche y con app de delivery (Hallazgo 3)</t>
  </si>
  <si>
    <t>Reseña sobre pérdida del colectivo por demora en pedido para llevar (Hallazgo 2)</t>
  </si>
  <si>
    <t>Perfil del segmento: clientes que a veces se quedan a trabajar (visitas frecuentes, uso prolongado)</t>
  </si>
  <si>
    <t>Reseñas que destacan que el barista se acuerda del pedido/nombre (Hallazgo 1)</t>
  </si>
  <si>
    <t>Reseña sobre reserva de cumpleaños sin respuesta clara (Hallazgo 4)</t>
  </si>
  <si>
    <t>Cita "es mi segunda oficina" (Hallazgo 1) + preocupación por precios (Hallazgo 5)</t>
  </si>
  <si>
    <t>Customer Journey Map (To Be) — Cliente Habitué de Café Aurora</t>
  </si>
  <si>
    <t>Estado deseado del recorrido, con detalle por subetapa | Café Aurora (caso ficticio) | clientes habituales, 25-55 años, CABA</t>
  </si>
  <si>
    <t>El cliente potencial descubre Café Aurora y recibe información clara y respuestas ágiles en cualquier canal, digital o por recomendación.</t>
  </si>
  <si>
    <t>El ingreso y el pedido se resuelven con rapidez y calidez, incluso en horario pico.</t>
  </si>
  <si>
    <t>La espera se comunica con claridad y el consumo se disfruta sin fricciones, con reglas de uso de mesas transparentes.</t>
  </si>
  <si>
    <t>El pago se percibe como justo, con precios comunicados con transparencia, y la salida incluye un trato cálido y consistente.</t>
  </si>
  <si>
    <t>El seguimiento post-visita refuerza activamente el vínculo con la marca Café Aurora, más allá de la sucursal o el barista puntual.</t>
  </si>
  <si>
    <t>Touchpoints (mejorados)</t>
  </si>
  <si>
    <t>Instagram con protocolo de respuesta ágil + Google Business actualizado</t>
  </si>
  <si>
    <t>Perfil de Google Maps con fotos actualizadas y respuestas públicas a reseñas sobre precio</t>
  </si>
  <si>
    <t>Mostrador con personal reforzado en hora pico + pedido anticipado por app</t>
  </si>
  <si>
    <t>Mostrador con checklist de modificaciones; app de delivery con confirmación de pedido</t>
  </si>
  <si>
    <t>Sistema de aviso por número de orden o notificación de app</t>
  </si>
  <si>
    <t>Señalización clara de uso de mesas en hora pico (tiempo sugerido, WiFi)</t>
  </si>
  <si>
    <t>Caja con comunicación transparente de precios (cartel o mención del mozo ante aumentos)</t>
  </si>
  <si>
    <t>Personal de salón/mostrador con protocolo de despedida</t>
  </si>
  <si>
    <t>Instagram/WhatsApp con protocolo de reservas grupales</t>
  </si>
  <si>
    <t>Programa de fidelidad (tarjeta de sellos o app) y comunicación de marca</t>
  </si>
  <si>
    <t>Consulta por comentario o DM y recibe respuesta clara y rápida sobre horarios/ubicación</t>
  </si>
  <si>
    <t>Encuentra información clara y transparente sobre precios y novedades del menú</t>
  </si>
  <si>
    <t>Pide sin hacer una fila larga, incluso en horario pico</t>
  </si>
  <si>
    <t>Recibe el pedido exactamente como lo pidió, incluso con modificaciones</t>
  </si>
  <si>
    <t>Sabe cuánto va a esperar y puede organizar su tiempo</t>
  </si>
  <si>
    <t>Disfruta el consumo sabiendo las reglas del lugar en hora pico, sin sentirse apurado ni juzgado</t>
  </si>
  <si>
    <t>Paga sintiendo que entendió por qué el precio es el que es</t>
  </si>
  <si>
    <t>Se va con un saludo cálido y personalizado, en cualquier sucursal o turno</t>
  </si>
  <si>
    <t>Recibe una respuesta clara sobre disponibilidad para eventos o mesas grandes</t>
  </si>
  <si>
    <t>Participa del programa de fidelidad y recomienda el lugar activamente</t>
  </si>
  <si>
    <t>Pensamientos y emociones (esperados)</t>
  </si>
  <si>
    <t>Buena primera impresión digital; siente que "atienden rápido"</t>
  </si>
  <si>
    <t>Confianza en que el precio se corresponde con lo que va a recibir</t>
  </si>
  <si>
    <t>Tranquilidad; no siente que "pierde tiempo" yendo a la cafetería</t>
  </si>
  <si>
    <t>Confianza en que "esta vez sí va a estar bien"</t>
  </si>
  <si>
    <t>Paciencia, porque hay información clara sobre el tiempo de espera</t>
  </si>
  <si>
    <t>Comodidad; siente que las reglas son claras y parejas para todos</t>
  </si>
  <si>
    <t>Percepción de valor sostenida, aunque el precio haya subido</t>
  </si>
  <si>
    <t>Sensación de pertenencia a la marca Café Aurora, no solo a "ese barista"</t>
  </si>
  <si>
    <t>Confianza en que la cafetería puede resolver pedidos especiales</t>
  </si>
  <si>
    <t>Lealtad a la marca Café Aurora, más allá de la sucursal o el barista puntual</t>
  </si>
  <si>
    <t>Mejora implementada</t>
  </si>
  <si>
    <t>Protocolo de respuesta a consultas en redes (horarios, ubicación, novedades)</t>
  </si>
  <si>
    <t>Respuesta pública y transparente a reseñas sobre precio-valor</t>
  </si>
  <si>
    <t>Refuerzo de dotación en horas pico + opción de pedido anticipado por app</t>
  </si>
  <si>
    <t>Checklist de verificación de modificaciones antes de entregar el pedido</t>
  </si>
  <si>
    <t>Sistema de aviso de pedido listo (pantalla / número / notificación)</t>
  </si>
  <si>
    <t>Política de uso de mesas comunicada de forma amable (cartel o mensaje del mozo)</t>
  </si>
  <si>
    <t>Comunicación proactiva de aumentos de precio (insumos, calidad) en el pago o en cartelería</t>
  </si>
  <si>
    <t>Estandarizar el saludo/reconocimiento a clientes habituales entre turnos y sucursales</t>
  </si>
  <si>
    <t>Protocolo simple de reservas para grupos/eventos, comunicado en redes</t>
  </si>
  <si>
    <t>Programa de fidelidad simple (sellos o puntos) que refuerce la marca</t>
  </si>
  <si>
    <t>Resultado esperado / KPI</t>
  </si>
  <si>
    <t>Tiempo de primera respuesta en Instagram ≤ 1 hora</t>
  </si>
  <si>
    <t>% de reseñas sobre precio respondidas públicamente</t>
  </si>
  <si>
    <t>Tiempo de espera en fila (objetivo: menor a 5 minutos en hora pico)</t>
  </si>
  <si>
    <t>Tasa de errores de pedido (objetivo: reducción significativa)</t>
  </si>
  <si>
    <t>Tiempo de espera promedio comunicado vs. real</t>
  </si>
  <si>
    <t>Rotación de mesas en hora pico vs. satisfacción de quienes trabajan ahí</t>
  </si>
  <si>
    <t>% de clientes que perciben el precio como "justo" (encuesta post-visita)</t>
  </si>
  <si>
    <t>Consistencia del trato percibida entre sucursales (encuesta)</t>
  </si>
  <si>
    <t>% de consultas de reserva respondidas en el día</t>
  </si>
  <si>
    <t>% de clientes con tarjeta/app activa · frecuencia de visita promedio</t>
  </si>
  <si>
    <t>Vinculación con hallazgo (As Is)</t>
  </si>
  <si>
    <t>Resuelve el Hallazgo 4 (consultas en Instagram sin respuesta)</t>
  </si>
  <si>
    <t>Refuerza el Hallazgo 5 (percepción de precio-valor)</t>
  </si>
  <si>
    <t>Resuelve el Hallazgo 2 (rapidez del servicio en hora pico)</t>
  </si>
  <si>
    <t>Resuelve el Hallazgo 3 (errores en la gestión de pedidos)</t>
  </si>
  <si>
    <t>Refuerza el Hallazgo 2 (rapidez del servicio en hora pico)</t>
  </si>
  <si>
    <t>Complementa el perfil de uso del segmento (visitas frecuentes, uso prolongado)</t>
  </si>
  <si>
    <t>Resuelve el Hallazgo 5 (percepción de precio-valor)</t>
  </si>
  <si>
    <t>Refuerza el Hallazgo 1 (calidad y atención generan fidelidad)</t>
  </si>
  <si>
    <t>Resuelve el Hallazgo 4 (oportunidad en reservas y consultas digitales)</t>
  </si>
  <si>
    <t>Refuerza el Hallazgo 1 y atiende la sensibilidad al precio del Hallazgo 5</t>
  </si>
  <si>
    <t>Service Blueprint — Cliente Habitué de Café Aurora</t>
  </si>
  <si>
    <t>Complementa el Customer Journey Map con la vista interna del servicio: frontstage, backstage y procesos de soporte | Café Aurora (caso ficticio)</t>
  </si>
  <si>
    <t>Evidencia física</t>
  </si>
  <si>
    <t>Posteos de Instagram, fachada del local, cartel en la vereda</t>
  </si>
  <si>
    <t>Perfil de Google Maps, fotos, reseñas</t>
  </si>
  <si>
    <t>Mostrador, vitrina de productos, cartel de precios</t>
  </si>
  <si>
    <t>Pedido verbalizado/anotado, ticket</t>
  </si>
  <si>
    <t>Zona de espera, pantalla o llamador de número</t>
  </si>
  <si>
    <t>Mesas, vajilla, ambientación del salón</t>
  </si>
  <si>
    <t>Caja, POS, ticket</t>
  </si>
  <si>
    <t>Puerta de salida, saludo del personal</t>
  </si>
  <si>
    <t>Publicación en redes, reseña en Google Maps, mensaje de WhatsApp</t>
  </si>
  <si>
    <t>Tarjeta de sellos / app de puntos, comunicación de novedades</t>
  </si>
  <si>
    <t>▬▬▬  LÍNEA DE INTERACCIÓN  ▬▬▬</t>
  </si>
  <si>
    <t>Frontstage
(personal de contacto directo)</t>
  </si>
  <si>
    <t>Community manager / dueño responde comentarios (cuando existe protocolo)</t>
  </si>
  <si>
    <t>Sin interacción humana directa en este momento</t>
  </si>
  <si>
    <t>Barista / mozo toma el pedido</t>
  </si>
  <si>
    <t>Barista confirma modificaciones con el cliente</t>
  </si>
  <si>
    <t>Personal avisa cuando el pedido está listo</t>
  </si>
  <si>
    <t>Mozo/barista atiende en salón, retira vajilla</t>
  </si>
  <si>
    <t>Cajero/mozo cobra el consumo</t>
  </si>
  <si>
    <t>Personal se despide, idealmente reconociendo al cliente habitual</t>
  </si>
  <si>
    <t>Community manager / dueño responde consultas de reservas o eventos</t>
  </si>
  <si>
    <t>Personal ofrece o recuerda el programa de fidelidad al cliente habitual</t>
  </si>
  <si>
    <t>▬▬▬  LÍNEA DE VISIBILIDAD  ▬▬▬</t>
  </si>
  <si>
    <t>Backstage
(personal sin contacto directo)</t>
  </si>
  <si>
    <t>Planificación de contenido de redes, gestión de reputación</t>
  </si>
  <si>
    <t>Actualización de fotos/menú/precios en Google Business; respuesta a reseñas</t>
  </si>
  <si>
    <t>Gestión de turnos del personal según franja horaria</t>
  </si>
  <si>
    <t>Preparación del pedido en cocina/barra según especificaciones</t>
  </si>
  <si>
    <t>Preparación del pedido en barra/cocina</t>
  </si>
  <si>
    <t>Limpieza y preparación de mesas, gestión de rotación</t>
  </si>
  <si>
    <t>Conciliación de caja, actualización de precios en el sistema</t>
  </si>
  <si>
    <t>Sin actividad backstage relevante en este momento</t>
  </si>
  <si>
    <t>Gestión de reputación online, coordinación de reservas especiales</t>
  </si>
  <si>
    <t>Administración del programa de fidelidad, análisis de frecuencia de visitas</t>
  </si>
  <si>
    <t>▬▬▬  LÍNEA DE INTERACCIÓN INTERNA  ▬▬▬</t>
  </si>
  <si>
    <t>Procesos de soporte
(sistemas y proveedores)</t>
  </si>
  <si>
    <t>Instagram Business, Google Business Profile</t>
  </si>
  <si>
    <t>Google Business Profile</t>
  </si>
  <si>
    <t>Sistema de punto de venta (POS), planilla de turnos</t>
  </si>
  <si>
    <t>POS con opción de modificadores, capacitación del personal</t>
  </si>
  <si>
    <t>Sistema de gestión de pedidos / cola de producción</t>
  </si>
  <si>
    <t>Protocolo de limpieza, criterios de uso de mesas en hora pico</t>
  </si>
  <si>
    <t>Sistema de POS, lista de precios actualizada</t>
  </si>
  <si>
    <t>Instagram, WhatsApp Business, planilla de reservas</t>
  </si>
  <si>
    <t>Sistema de fidelización (tarjeta física o app), CRM básico</t>
  </si>
  <si>
    <t>Punto de fallo potencial (riesgo)</t>
  </si>
  <si>
    <t>Consultas sin respuesta sobre horarios/sucursales (Hallazgo 4)</t>
  </si>
  <si>
    <t>Reseñas negativas de precio sin respuesta erosionan la confianza antes de la visita (Hallazgo 5)</t>
  </si>
  <si>
    <t>Subdotación de personal en hora pico genera filas largas (Hallazgo 2)</t>
  </si>
  <si>
    <t>Errores de comunicación entre quien toma el pedido y quien lo prepara (Hallazgo 3)</t>
  </si>
  <si>
    <t>Falta de aviso claro genera incertidumbre y pérdida de tiempo del cliente (Hallazgo 2)</t>
  </si>
  <si>
    <t>Mesas ocupadas por tiempo prolongado en hora pico reduce la capacidad de atender a otros clientes</t>
  </si>
  <si>
    <t>Percepción de precio injusto si no hay comunicación de por qué subió (Hallazgo 5)</t>
  </si>
  <si>
    <t>Inconsistencia en el trato entre turnos/sucursales (Hallazgo 1)</t>
  </si>
  <si>
    <t>Consultas de reservas grupales sin respuesta clara (Hallazgo 4)</t>
  </si>
  <si>
    <t>Sin programa de fidelidad sistematizado, la lealtad depende solo de la rutina individual y puede debilitarse ante la suba de precios (Hallazgo 5)</t>
  </si>
  <si>
    <t>Referencias: por encima de la línea de interacción, lo que el cliente hace y ve (front stage). Entre la línea de visibilidad y la de interacción interna, lo que hace el personal sin contacto directo (back stage). Debajo, los sistemas y proveedores que sostienen el servicio.</t>
  </si>
  <si>
    <t>Síntesis de Hallazgos, Insights y Priorización</t>
  </si>
  <si>
    <t>Café Aurora (caso ficticio) — misma metodología aplicada a Clínica Bermejo</t>
  </si>
  <si>
    <t>Hallazgo</t>
  </si>
  <si>
    <t>Insight</t>
  </si>
  <si>
    <t>Etapa del CJM más afectada</t>
  </si>
  <si>
    <t>Impacto (Alto/Medio/Bajo)</t>
  </si>
  <si>
    <t>Prioridad sugerida</t>
  </si>
  <si>
    <t>La calidad del café y el trato cálido y personalizado generan fidelidad fuerte entre los clientes habituales.</t>
  </si>
  <si>
    <t>La rutina y el reconocimiento personal son el principal impulsor de las visitas frecuentes, más allá de la variedad del menú.</t>
  </si>
  <si>
    <t>Salida / despedida</t>
  </si>
  <si>
    <t>Alto</t>
  </si>
  <si>
    <t>Media</t>
  </si>
  <si>
    <t>La calidad percibida se ve afectada por la rapidez del servicio, sobre todo porque muchos clientes van camino al trabajo.</t>
  </si>
  <si>
    <t>Ingreso y pedido</t>
  </si>
  <si>
    <t>Alta</t>
  </si>
  <si>
    <t>La falta de un protocolo de verificación de pedidos genera fricciones evitables que dañan la confianza.</t>
  </si>
  <si>
    <t>Los canales digitales son una puerta de entrada desaprovechada, tanto para nuevos clientes como para ocasiones especiales de los habituales.</t>
  </si>
  <si>
    <t>Descubrimiento</t>
  </si>
  <si>
    <t>La percepción de precio-valor es sensible y puede erosionar la frecuencia de visita si no se comunica con transparencia.</t>
  </si>
  <si>
    <t>Pago y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</si>
</sst>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"/>
    <numFmt numFmtId="166" formatCode="0.0%"/>
    <numFmt numFmtId="167" formatCode="0%;\-0%;&quot;Cargar datos&quot;"/>
  </numFmts>
  <fonts count="15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7F7F7F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i/>
      <sz val="13"/>
      <color rgb="FF1F3864"/>
      <name val="Arial"/>
      <charset val="1"/>
    </font>
    <font>
      <b/>
      <i/>
      <sz val="9"/>
      <color rgb="FFBF8F0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i/>
      <sz val="10"/>
      <color rgb="FF1F3864"/>
      <name val="Arial"/>
      <charset val="1"/>
    </font>
    <font>
      <b/>
      <i/>
      <sz val="9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CE6F1"/>
      </patternFill>
    </fill>
    <fill>
      <patternFill patternType="solid">
        <fgColor rgb="FFF8CBAD"/>
        <bgColor rgb="FFFFF2CC"/>
      </patternFill>
    </fill>
    <fill>
      <patternFill patternType="solid">
        <fgColor rgb="FFF2F2F2"/>
        <bgColor rgb="FFEDF2FA"/>
      </patternFill>
    </fill>
    <fill>
      <patternFill patternType="solid">
        <fgColor rgb="FFDCE6F1"/>
        <bgColor rgb="FFEDF2FA"/>
      </patternFill>
    </fill>
    <fill>
      <patternFill patternType="solid">
        <fgColor rgb="FFFFF2CC"/>
        <bgColor rgb="FFF2F2F2"/>
      </patternFill>
    </fill>
    <fill>
      <patternFill patternType="solid">
        <fgColor rgb="FF2E5395"/>
        <bgColor rgb="FF3D6DB0"/>
      </patternFill>
    </fill>
    <fill>
      <patternFill patternType="solid">
        <fgColor rgb="FF3D6DB0"/>
        <bgColor rgb="FF2E5395"/>
      </patternFill>
    </fill>
    <fill>
      <patternFill patternType="solid">
        <fgColor rgb="FF5A85BF"/>
        <bgColor rgb="FF3D6DB0"/>
      </patternFill>
    </fill>
    <fill>
      <patternFill patternType="solid">
        <fgColor rgb="FF7A9FCE"/>
        <bgColor rgb="FF9AB9DD"/>
      </patternFill>
    </fill>
    <fill>
      <patternFill patternType="solid">
        <fgColor rgb="FF9AB9DD"/>
        <bgColor rgb="FFBFBFBF"/>
      </patternFill>
    </fill>
    <fill>
      <patternFill patternType="solid">
        <fgColor rgb="FFC9A227"/>
        <bgColor rgb="FFBF8F00"/>
      </patternFill>
    </fill>
    <fill>
      <patternFill patternType="solid">
        <fgColor rgb="FFEDF2FA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0" fillId="10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left" vertical="top" wrapText="1"/>
    </xf>
    <xf numFmtId="165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/>
    <xf numFmtId="167" fontId="3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top" wrapText="1"/>
    </xf>
    <xf numFmtId="0" fontId="14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8F00"/>
      <rgbColor rgb="FF800080"/>
      <rgbColor rgb="FF008080"/>
      <rgbColor rgb="FFBFBFBF"/>
      <rgbColor rgb="FF7F7F7F"/>
      <rgbColor rgb="FF7A9FCE"/>
      <rgbColor rgb="FF993366"/>
      <rgbColor rgb="FFFFF2CC"/>
      <rgbColor rgb="FFEDF2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0B4"/>
      <rgbColor rgb="FFF2F2F2"/>
      <rgbColor rgb="FF9AB9DD"/>
      <rgbColor rgb="FFFF99CC"/>
      <rgbColor rgb="FFCC99FF"/>
      <rgbColor rgb="FFF8CBAD"/>
      <rgbColor rgb="FF3366FF"/>
      <rgbColor rgb="FF33CCCC"/>
      <rgbColor rgb="FF99CC00"/>
      <rgbColor rgb="FFFFCC00"/>
      <rgbColor rgb="FFC9A227"/>
      <rgbColor rgb="FFFF6600"/>
      <rgbColor rgb="FF3D6DB0"/>
      <rgbColor rgb="FF5A85BF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Normal="100" workbookViewId="0">
      <selection activeCell="A2" sqref="A2:F2"/>
    </sheetView>
  </sheetViews>
  <sheetFormatPr baseColWidth="10" defaultColWidth="8.6640625" defaultRowHeight="14.4" x14ac:dyDescent="0.3"/>
  <cols>
    <col min="1" max="1" width="22" customWidth="1"/>
    <col min="2" max="3" width="46" customWidth="1"/>
    <col min="4" max="6" width="14" customWidth="1"/>
  </cols>
  <sheetData>
    <row r="1" spans="1:6" ht="25.5" customHeight="1" x14ac:dyDescent="0.3">
      <c r="A1" s="14" t="s">
        <v>0</v>
      </c>
      <c r="B1" s="14"/>
      <c r="C1" s="14"/>
      <c r="D1" s="14"/>
      <c r="E1" s="14"/>
      <c r="F1" s="14"/>
    </row>
    <row r="2" spans="1:6" ht="15.75" customHeight="1" x14ac:dyDescent="0.3">
      <c r="A2" s="13"/>
      <c r="B2" s="13"/>
      <c r="C2" s="13"/>
      <c r="D2" s="13"/>
      <c r="E2" s="13"/>
      <c r="F2" s="13"/>
    </row>
    <row r="4" spans="1:6" ht="15.6" x14ac:dyDescent="0.3">
      <c r="A4" s="15" t="s">
        <v>1</v>
      </c>
    </row>
    <row r="5" spans="1:6" x14ac:dyDescent="0.3">
      <c r="A5" s="16" t="s">
        <v>2</v>
      </c>
      <c r="B5" s="16" t="s">
        <v>3</v>
      </c>
      <c r="C5" s="16" t="s">
        <v>4</v>
      </c>
    </row>
    <row r="6" spans="1:6" ht="54.75" customHeight="1" x14ac:dyDescent="0.3">
      <c r="A6" s="17" t="s">
        <v>5</v>
      </c>
      <c r="B6" s="17" t="s">
        <v>6</v>
      </c>
      <c r="C6" s="17" t="s">
        <v>7</v>
      </c>
    </row>
    <row r="7" spans="1:6" ht="54.75" customHeight="1" x14ac:dyDescent="0.3">
      <c r="A7" s="17" t="s">
        <v>8</v>
      </c>
      <c r="B7" s="17" t="s">
        <v>9</v>
      </c>
      <c r="C7" s="17" t="s">
        <v>10</v>
      </c>
    </row>
    <row r="8" spans="1:6" ht="54.75" customHeight="1" x14ac:dyDescent="0.3">
      <c r="A8" s="17" t="s">
        <v>11</v>
      </c>
      <c r="B8" s="17" t="s">
        <v>12</v>
      </c>
      <c r="C8" s="17" t="s">
        <v>13</v>
      </c>
    </row>
    <row r="9" spans="1:6" ht="54.75" customHeight="1" x14ac:dyDescent="0.3">
      <c r="A9" s="17" t="s">
        <v>14</v>
      </c>
      <c r="B9" s="17" t="s">
        <v>15</v>
      </c>
      <c r="C9" s="17" t="s">
        <v>16</v>
      </c>
    </row>
    <row r="10" spans="1:6" ht="54.75" customHeight="1" x14ac:dyDescent="0.3">
      <c r="A10" s="17" t="s">
        <v>17</v>
      </c>
      <c r="B10" s="17" t="s">
        <v>18</v>
      </c>
      <c r="C10" s="17" t="s">
        <v>19</v>
      </c>
    </row>
    <row r="11" spans="1:6" ht="54.75" customHeight="1" x14ac:dyDescent="0.3">
      <c r="A11" s="17" t="s">
        <v>20</v>
      </c>
      <c r="B11" s="17" t="s">
        <v>21</v>
      </c>
      <c r="C11" s="17" t="s">
        <v>22</v>
      </c>
    </row>
    <row r="12" spans="1:6" ht="54.75" customHeight="1" x14ac:dyDescent="0.3">
      <c r="A12" s="17" t="s">
        <v>23</v>
      </c>
      <c r="B12" s="17" t="s">
        <v>24</v>
      </c>
      <c r="C12" s="17" t="s">
        <v>25</v>
      </c>
    </row>
    <row r="13" spans="1:6" ht="54.75" customHeight="1" x14ac:dyDescent="0.3">
      <c r="A13" s="17" t="s">
        <v>26</v>
      </c>
      <c r="B13" s="17" t="s">
        <v>27</v>
      </c>
      <c r="C13" s="17" t="s">
        <v>28</v>
      </c>
    </row>
    <row r="15" spans="1:6" x14ac:dyDescent="0.3">
      <c r="A15" s="18" t="s">
        <v>29</v>
      </c>
    </row>
    <row r="16" spans="1:6" x14ac:dyDescent="0.3">
      <c r="A16" s="19" t="s">
        <v>30</v>
      </c>
      <c r="B16" s="12" t="s">
        <v>31</v>
      </c>
      <c r="C16" s="12"/>
      <c r="D16" s="12"/>
      <c r="E16" s="12"/>
    </row>
    <row r="17" spans="1:6" x14ac:dyDescent="0.3">
      <c r="A17" s="20" t="s">
        <v>30</v>
      </c>
      <c r="B17" s="12" t="s">
        <v>32</v>
      </c>
      <c r="C17" s="12"/>
      <c r="D17" s="12"/>
      <c r="E17" s="12"/>
    </row>
    <row r="18" spans="1:6" x14ac:dyDescent="0.3">
      <c r="A18" s="21" t="s">
        <v>30</v>
      </c>
      <c r="B18" s="12" t="s">
        <v>33</v>
      </c>
      <c r="C18" s="12"/>
      <c r="D18" s="12"/>
      <c r="E18" s="12"/>
    </row>
    <row r="20" spans="1:6" ht="49.5" customHeight="1" x14ac:dyDescent="0.3">
      <c r="A20" s="11"/>
      <c r="B20" s="11"/>
      <c r="C20" s="11"/>
      <c r="D20" s="11"/>
      <c r="E20" s="11"/>
      <c r="F20" s="11"/>
    </row>
    <row r="21" spans="1:6" x14ac:dyDescent="0.3">
      <c r="A21" s="11"/>
      <c r="B21" s="11"/>
      <c r="C21" s="11"/>
      <c r="D21" s="11"/>
      <c r="E21" s="11"/>
      <c r="F21" s="11"/>
    </row>
    <row r="22" spans="1:6" x14ac:dyDescent="0.3">
      <c r="A22" s="11"/>
      <c r="B22" s="11"/>
      <c r="C22" s="11"/>
      <c r="D22" s="11"/>
      <c r="E22" s="11"/>
      <c r="F22" s="11"/>
    </row>
  </sheetData>
  <mergeCells count="6">
    <mergeCell ref="A20:F22"/>
    <mergeCell ref="A1:F1"/>
    <mergeCell ref="A2:F2"/>
    <mergeCell ref="B16:E16"/>
    <mergeCell ref="B17:E17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showGridLines="0" topLeftCell="A39" zoomScaleNormal="100" workbookViewId="0">
      <selection activeCell="A5" sqref="A5"/>
    </sheetView>
  </sheetViews>
  <sheetFormatPr baseColWidth="10" defaultColWidth="8.6640625" defaultRowHeight="14.4" x14ac:dyDescent="0.3"/>
  <cols>
    <col min="1" max="1" width="39.88671875" customWidth="1"/>
    <col min="2" max="6" width="22" customWidth="1"/>
  </cols>
  <sheetData>
    <row r="1" spans="1:6" ht="25.5" customHeight="1" x14ac:dyDescent="0.3">
      <c r="A1" s="14" t="s">
        <v>34</v>
      </c>
      <c r="B1" s="14"/>
      <c r="C1" s="14"/>
      <c r="D1" s="14"/>
      <c r="E1" s="14"/>
      <c r="F1" s="14"/>
    </row>
    <row r="2" spans="1:6" ht="15.75" customHeight="1" x14ac:dyDescent="0.3">
      <c r="A2" s="13" t="s">
        <v>35</v>
      </c>
      <c r="B2" s="13"/>
      <c r="C2" s="13"/>
      <c r="D2" s="13"/>
      <c r="E2" s="13"/>
      <c r="F2" s="13"/>
    </row>
    <row r="4" spans="1:6" ht="13.8" customHeight="1" x14ac:dyDescent="0.3">
      <c r="A4" s="10"/>
      <c r="B4" s="10"/>
      <c r="C4" s="10"/>
      <c r="D4" s="10"/>
      <c r="E4" s="10"/>
      <c r="F4" s="10"/>
    </row>
    <row r="6" spans="1:6" ht="21.75" customHeight="1" x14ac:dyDescent="0.3">
      <c r="A6" s="9" t="s">
        <v>36</v>
      </c>
      <c r="B6" s="9"/>
      <c r="C6" s="9"/>
      <c r="D6" s="9"/>
      <c r="E6" s="9"/>
      <c r="F6" s="9"/>
    </row>
    <row r="7" spans="1:6" ht="21.75" customHeight="1" x14ac:dyDescent="0.3">
      <c r="A7" s="23" t="s">
        <v>37</v>
      </c>
      <c r="B7" s="8" t="s">
        <v>38</v>
      </c>
      <c r="C7" s="8"/>
      <c r="D7" s="8"/>
      <c r="E7" s="8"/>
      <c r="F7" s="8"/>
    </row>
    <row r="8" spans="1:6" ht="21.75" customHeight="1" x14ac:dyDescent="0.3">
      <c r="A8" s="23" t="s">
        <v>39</v>
      </c>
      <c r="B8" s="8" t="s">
        <v>40</v>
      </c>
      <c r="C8" s="8"/>
      <c r="D8" s="8"/>
      <c r="E8" s="8"/>
      <c r="F8" s="8"/>
    </row>
    <row r="9" spans="1:6" ht="21.75" customHeight="1" x14ac:dyDescent="0.3">
      <c r="A9" s="23" t="s">
        <v>41</v>
      </c>
      <c r="B9" s="8" t="s">
        <v>42</v>
      </c>
      <c r="C9" s="8"/>
      <c r="D9" s="8"/>
      <c r="E9" s="8"/>
      <c r="F9" s="8"/>
    </row>
    <row r="10" spans="1:6" ht="21.75" customHeight="1" x14ac:dyDescent="0.3">
      <c r="A10" s="23" t="s">
        <v>43</v>
      </c>
      <c r="B10" s="8" t="s">
        <v>44</v>
      </c>
      <c r="C10" s="8"/>
      <c r="D10" s="8"/>
      <c r="E10" s="8"/>
      <c r="F10" s="8"/>
    </row>
    <row r="11" spans="1:6" ht="21.75" customHeight="1" x14ac:dyDescent="0.3">
      <c r="A11" s="23" t="s">
        <v>45</v>
      </c>
      <c r="B11" s="8" t="s">
        <v>46</v>
      </c>
      <c r="C11" s="8"/>
      <c r="D11" s="8"/>
      <c r="E11" s="8"/>
      <c r="F11" s="8"/>
    </row>
    <row r="12" spans="1:6" ht="21.75" customHeight="1" x14ac:dyDescent="0.3">
      <c r="A12" s="23" t="s">
        <v>47</v>
      </c>
      <c r="B12" s="8" t="s">
        <v>48</v>
      </c>
      <c r="C12" s="8"/>
      <c r="D12" s="8"/>
      <c r="E12" s="8"/>
      <c r="F12" s="8"/>
    </row>
    <row r="13" spans="1:6" ht="21.75" customHeight="1" x14ac:dyDescent="0.3">
      <c r="A13" s="23" t="s">
        <v>49</v>
      </c>
      <c r="B13" s="8" t="s">
        <v>50</v>
      </c>
      <c r="C13" s="8"/>
      <c r="D13" s="8"/>
      <c r="E13" s="8"/>
      <c r="F13" s="8"/>
    </row>
    <row r="14" spans="1:6" ht="21.75" customHeight="1" x14ac:dyDescent="0.3">
      <c r="A14" s="23" t="s">
        <v>51</v>
      </c>
      <c r="B14" s="8" t="s">
        <v>52</v>
      </c>
      <c r="C14" s="8"/>
      <c r="D14" s="8"/>
      <c r="E14" s="8"/>
      <c r="F14" s="8"/>
    </row>
    <row r="15" spans="1:6" ht="21.75" customHeight="1" x14ac:dyDescent="0.3">
      <c r="A15" s="23" t="s">
        <v>53</v>
      </c>
      <c r="B15" s="8" t="s">
        <v>54</v>
      </c>
      <c r="C15" s="8"/>
      <c r="D15" s="8"/>
      <c r="E15" s="8"/>
      <c r="F15" s="8"/>
    </row>
    <row r="17" spans="1:6" ht="45" customHeight="1" x14ac:dyDescent="0.3">
      <c r="A17" s="7" t="s">
        <v>55</v>
      </c>
      <c r="B17" s="7"/>
      <c r="C17" s="7"/>
      <c r="D17" s="7"/>
      <c r="E17" s="7"/>
      <c r="F17" s="7"/>
    </row>
    <row r="19" spans="1:6" ht="21.75" customHeight="1" x14ac:dyDescent="0.3">
      <c r="A19" s="9" t="s">
        <v>56</v>
      </c>
      <c r="B19" s="9"/>
      <c r="C19" s="9"/>
      <c r="D19" s="9"/>
      <c r="E19" s="9"/>
      <c r="F19" s="9"/>
    </row>
    <row r="20" spans="1:6" ht="75" customHeight="1" x14ac:dyDescent="0.3">
      <c r="A20" s="8" t="s">
        <v>57</v>
      </c>
      <c r="B20" s="8"/>
      <c r="C20" s="8"/>
      <c r="D20" s="8"/>
      <c r="E20" s="8"/>
      <c r="F20" s="8"/>
    </row>
    <row r="22" spans="1:6" ht="21.75" customHeight="1" x14ac:dyDescent="0.3">
      <c r="A22" s="9" t="s">
        <v>58</v>
      </c>
      <c r="B22" s="9"/>
      <c r="C22" s="9"/>
      <c r="D22" s="9"/>
      <c r="E22" s="9"/>
      <c r="F22" s="9"/>
    </row>
    <row r="23" spans="1:6" ht="19.5" customHeight="1" x14ac:dyDescent="0.3">
      <c r="A23" s="8" t="s">
        <v>59</v>
      </c>
      <c r="B23" s="8"/>
      <c r="C23" s="8"/>
      <c r="D23" s="8"/>
      <c r="E23" s="8"/>
      <c r="F23" s="8"/>
    </row>
    <row r="24" spans="1:6" ht="19.5" customHeight="1" x14ac:dyDescent="0.3">
      <c r="A24" s="8" t="s">
        <v>60</v>
      </c>
      <c r="B24" s="8"/>
      <c r="C24" s="8"/>
      <c r="D24" s="8"/>
      <c r="E24" s="8"/>
      <c r="F24" s="8"/>
    </row>
    <row r="25" spans="1:6" ht="19.5" customHeight="1" x14ac:dyDescent="0.3">
      <c r="A25" s="8" t="s">
        <v>61</v>
      </c>
      <c r="B25" s="8"/>
      <c r="C25" s="8"/>
      <c r="D25" s="8"/>
      <c r="E25" s="8"/>
      <c r="F25" s="8"/>
    </row>
    <row r="27" spans="1:6" ht="21.75" customHeight="1" x14ac:dyDescent="0.3">
      <c r="A27" s="9" t="s">
        <v>62</v>
      </c>
      <c r="B27" s="9"/>
      <c r="C27" s="9"/>
      <c r="D27" s="9"/>
      <c r="E27" s="9"/>
      <c r="F27" s="9"/>
    </row>
    <row r="28" spans="1:6" ht="15" customHeight="1" x14ac:dyDescent="0.3">
      <c r="A28" s="16" t="s">
        <v>63</v>
      </c>
      <c r="B28" s="6" t="s">
        <v>64</v>
      </c>
      <c r="C28" s="6"/>
      <c r="D28" s="6"/>
      <c r="E28" s="6"/>
      <c r="F28" s="6"/>
    </row>
    <row r="29" spans="1:6" ht="31.5" customHeight="1" x14ac:dyDescent="0.3">
      <c r="A29" s="17" t="s">
        <v>65</v>
      </c>
      <c r="B29" s="10" t="s">
        <v>66</v>
      </c>
      <c r="C29" s="10"/>
      <c r="D29" s="10"/>
      <c r="E29" s="10"/>
      <c r="F29" s="10"/>
    </row>
    <row r="30" spans="1:6" ht="31.5" customHeight="1" x14ac:dyDescent="0.3">
      <c r="A30" s="17" t="s">
        <v>67</v>
      </c>
      <c r="B30" s="10" t="s">
        <v>68</v>
      </c>
      <c r="C30" s="10"/>
      <c r="D30" s="10"/>
      <c r="E30" s="10"/>
      <c r="F30" s="10"/>
    </row>
    <row r="31" spans="1:6" ht="31.5" customHeight="1" x14ac:dyDescent="0.3">
      <c r="A31" s="17" t="s">
        <v>69</v>
      </c>
      <c r="B31" s="10" t="s">
        <v>70</v>
      </c>
      <c r="C31" s="10"/>
      <c r="D31" s="10"/>
      <c r="E31" s="10"/>
      <c r="F31" s="10"/>
    </row>
    <row r="32" spans="1:6" ht="31.5" customHeight="1" x14ac:dyDescent="0.3">
      <c r="A32" s="17" t="s">
        <v>71</v>
      </c>
      <c r="B32" s="10" t="s">
        <v>72</v>
      </c>
      <c r="C32" s="10"/>
      <c r="D32" s="10"/>
      <c r="E32" s="10"/>
      <c r="F32" s="10"/>
    </row>
    <row r="34" spans="1:6" ht="21.75" customHeight="1" x14ac:dyDescent="0.3">
      <c r="A34" s="9" t="s">
        <v>73</v>
      </c>
      <c r="B34" s="9"/>
      <c r="C34" s="9"/>
      <c r="D34" s="9"/>
      <c r="E34" s="9"/>
      <c r="F34" s="9"/>
    </row>
    <row r="35" spans="1:6" ht="19.5" customHeight="1" x14ac:dyDescent="0.3">
      <c r="A35" s="8" t="s">
        <v>74</v>
      </c>
      <c r="B35" s="8"/>
      <c r="C35" s="8"/>
      <c r="D35" s="8"/>
      <c r="E35" s="8"/>
      <c r="F35" s="8"/>
    </row>
    <row r="36" spans="1:6" ht="19.5" customHeight="1" x14ac:dyDescent="0.3">
      <c r="A36" s="8" t="s">
        <v>75</v>
      </c>
      <c r="B36" s="8"/>
      <c r="C36" s="8"/>
      <c r="D36" s="8"/>
      <c r="E36" s="8"/>
      <c r="F36" s="8"/>
    </row>
    <row r="37" spans="1:6" ht="19.5" customHeight="1" x14ac:dyDescent="0.3">
      <c r="A37" s="8" t="s">
        <v>76</v>
      </c>
      <c r="B37" s="8"/>
      <c r="C37" s="8"/>
      <c r="D37" s="8"/>
      <c r="E37" s="8"/>
      <c r="F37" s="8"/>
    </row>
    <row r="38" spans="1:6" ht="19.5" customHeight="1" x14ac:dyDescent="0.3">
      <c r="A38" s="8" t="s">
        <v>77</v>
      </c>
      <c r="B38" s="8"/>
      <c r="C38" s="8"/>
      <c r="D38" s="8"/>
      <c r="E38" s="8"/>
      <c r="F38" s="8"/>
    </row>
    <row r="40" spans="1:6" ht="21.75" customHeight="1" x14ac:dyDescent="0.3">
      <c r="A40" s="9" t="s">
        <v>78</v>
      </c>
      <c r="B40" s="9"/>
      <c r="C40" s="9"/>
      <c r="D40" s="9"/>
      <c r="E40" s="9"/>
      <c r="F40" s="9"/>
    </row>
    <row r="41" spans="1:6" ht="31.5" customHeight="1" x14ac:dyDescent="0.3">
      <c r="A41" s="8" t="s">
        <v>79</v>
      </c>
      <c r="B41" s="8"/>
      <c r="C41" s="8"/>
      <c r="D41" s="8"/>
      <c r="E41" s="8"/>
      <c r="F41" s="8"/>
    </row>
    <row r="43" spans="1:6" ht="21.75" customHeight="1" x14ac:dyDescent="0.3">
      <c r="A43" s="9" t="s">
        <v>80</v>
      </c>
      <c r="B43" s="9"/>
      <c r="C43" s="9"/>
      <c r="D43" s="9"/>
      <c r="E43" s="9"/>
      <c r="F43" s="9"/>
    </row>
    <row r="44" spans="1:6" ht="19.5" customHeight="1" x14ac:dyDescent="0.3">
      <c r="A44" s="8" t="s">
        <v>81</v>
      </c>
      <c r="B44" s="8"/>
      <c r="C44" s="8"/>
      <c r="D44" s="8"/>
      <c r="E44" s="8"/>
      <c r="F44" s="8"/>
    </row>
    <row r="45" spans="1:6" ht="19.5" customHeight="1" x14ac:dyDescent="0.3">
      <c r="A45" s="8" t="s">
        <v>82</v>
      </c>
      <c r="B45" s="8"/>
      <c r="C45" s="8"/>
      <c r="D45" s="8"/>
      <c r="E45" s="8"/>
      <c r="F45" s="8"/>
    </row>
    <row r="46" spans="1:6" ht="19.5" customHeight="1" x14ac:dyDescent="0.3">
      <c r="A46" s="8" t="s">
        <v>83</v>
      </c>
      <c r="B46" s="8"/>
      <c r="C46" s="8"/>
      <c r="D46" s="8"/>
      <c r="E46" s="8"/>
      <c r="F46" s="8"/>
    </row>
    <row r="47" spans="1:6" ht="19.5" customHeight="1" x14ac:dyDescent="0.3">
      <c r="A47" s="8" t="s">
        <v>84</v>
      </c>
      <c r="B47" s="8"/>
      <c r="C47" s="8"/>
      <c r="D47" s="8"/>
      <c r="E47" s="8"/>
      <c r="F47" s="8"/>
    </row>
    <row r="49" spans="1:6" ht="21.75" customHeight="1" x14ac:dyDescent="0.3">
      <c r="A49" s="9" t="s">
        <v>85</v>
      </c>
      <c r="B49" s="9"/>
      <c r="C49" s="9"/>
      <c r="D49" s="9"/>
      <c r="E49" s="9"/>
      <c r="F49" s="9"/>
    </row>
    <row r="50" spans="1:6" ht="60" customHeight="1" x14ac:dyDescent="0.3">
      <c r="A50" s="8" t="s">
        <v>86</v>
      </c>
      <c r="B50" s="8"/>
      <c r="C50" s="8"/>
      <c r="D50" s="8"/>
      <c r="E50" s="8"/>
      <c r="F50" s="8"/>
    </row>
  </sheetData>
  <mergeCells count="40">
    <mergeCell ref="A45:F45"/>
    <mergeCell ref="A46:F46"/>
    <mergeCell ref="A47:F47"/>
    <mergeCell ref="A49:F49"/>
    <mergeCell ref="A50:F50"/>
    <mergeCell ref="A38:F38"/>
    <mergeCell ref="A40:F40"/>
    <mergeCell ref="A41:F41"/>
    <mergeCell ref="A43:F43"/>
    <mergeCell ref="A44:F44"/>
    <mergeCell ref="B32:F32"/>
    <mergeCell ref="A34:F34"/>
    <mergeCell ref="A35:F35"/>
    <mergeCell ref="A36:F36"/>
    <mergeCell ref="A37:F37"/>
    <mergeCell ref="A27:F27"/>
    <mergeCell ref="B28:F28"/>
    <mergeCell ref="B29:F29"/>
    <mergeCell ref="B30:F30"/>
    <mergeCell ref="B31:F31"/>
    <mergeCell ref="A20:F20"/>
    <mergeCell ref="A22:F22"/>
    <mergeCell ref="A23:F23"/>
    <mergeCell ref="A24:F24"/>
    <mergeCell ref="A25:F25"/>
    <mergeCell ref="B13:F13"/>
    <mergeCell ref="B14:F14"/>
    <mergeCell ref="B15:F15"/>
    <mergeCell ref="A17:F17"/>
    <mergeCell ref="A19:F19"/>
    <mergeCell ref="B8:F8"/>
    <mergeCell ref="B9:F9"/>
    <mergeCell ref="B10:F10"/>
    <mergeCell ref="B11:F11"/>
    <mergeCell ref="B12:F12"/>
    <mergeCell ref="A1:F1"/>
    <mergeCell ref="A2:F2"/>
    <mergeCell ref="A4:F4"/>
    <mergeCell ref="A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showGridLines="0" topLeftCell="A29" zoomScaleNormal="100" workbookViewId="0">
      <selection sqref="A1:H1"/>
    </sheetView>
  </sheetViews>
  <sheetFormatPr baseColWidth="10" defaultColWidth="8.6640625" defaultRowHeight="14.4" x14ac:dyDescent="0.3"/>
  <cols>
    <col min="1" max="1" width="4" customWidth="1"/>
    <col min="2" max="2" width="12" customWidth="1"/>
    <col min="3" max="3" width="20" customWidth="1"/>
    <col min="4" max="5" width="12" customWidth="1"/>
    <col min="6" max="6" width="55" customWidth="1"/>
    <col min="7" max="7" width="30" customWidth="1"/>
    <col min="8" max="8" width="12" customWidth="1"/>
  </cols>
  <sheetData>
    <row r="1" spans="1:8" ht="25.5" customHeight="1" x14ac:dyDescent="0.3">
      <c r="A1" s="14" t="s">
        <v>87</v>
      </c>
      <c r="B1" s="14"/>
      <c r="C1" s="14"/>
      <c r="D1" s="14"/>
      <c r="E1" s="14"/>
      <c r="F1" s="14"/>
      <c r="G1" s="14"/>
      <c r="H1" s="14"/>
    </row>
    <row r="2" spans="1:8" ht="15.75" customHeight="1" x14ac:dyDescent="0.3">
      <c r="A2" s="13" t="s">
        <v>88</v>
      </c>
      <c r="B2" s="13"/>
      <c r="C2" s="13"/>
      <c r="D2" s="13"/>
      <c r="E2" s="13"/>
      <c r="F2" s="13"/>
      <c r="G2" s="13"/>
      <c r="H2" s="13"/>
    </row>
    <row r="4" spans="1:8" ht="30" customHeight="1" x14ac:dyDescent="0.3">
      <c r="A4" s="16" t="s">
        <v>89</v>
      </c>
      <c r="B4" s="16" t="s">
        <v>90</v>
      </c>
      <c r="C4" s="16" t="s">
        <v>91</v>
      </c>
      <c r="D4" s="16" t="s">
        <v>92</v>
      </c>
      <c r="E4" s="16" t="s">
        <v>93</v>
      </c>
      <c r="F4" s="16" t="s">
        <v>94</v>
      </c>
      <c r="G4" s="16" t="s">
        <v>95</v>
      </c>
      <c r="H4" s="16" t="s">
        <v>96</v>
      </c>
    </row>
    <row r="5" spans="1:8" ht="45.75" customHeight="1" x14ac:dyDescent="0.3">
      <c r="A5" s="24">
        <v>1</v>
      </c>
      <c r="B5" s="25" t="s">
        <v>97</v>
      </c>
      <c r="C5" s="25" t="s">
        <v>98</v>
      </c>
      <c r="D5" s="24">
        <v>5</v>
      </c>
      <c r="E5" s="24" t="s">
        <v>99</v>
      </c>
      <c r="F5" s="17" t="s">
        <v>100</v>
      </c>
      <c r="G5" s="25" t="s">
        <v>101</v>
      </c>
      <c r="H5" s="26" t="s">
        <v>102</v>
      </c>
    </row>
    <row r="6" spans="1:8" ht="45.75" customHeight="1" x14ac:dyDescent="0.3">
      <c r="A6" s="24">
        <v>2</v>
      </c>
      <c r="B6" s="25" t="s">
        <v>97</v>
      </c>
      <c r="C6" s="25" t="s">
        <v>103</v>
      </c>
      <c r="D6" s="24">
        <v>5</v>
      </c>
      <c r="E6" s="24" t="s">
        <v>104</v>
      </c>
      <c r="F6" s="17" t="s">
        <v>105</v>
      </c>
      <c r="G6" s="25" t="s">
        <v>101</v>
      </c>
      <c r="H6" s="26" t="s">
        <v>102</v>
      </c>
    </row>
    <row r="7" spans="1:8" ht="45.75" customHeight="1" x14ac:dyDescent="0.3">
      <c r="A7" s="24">
        <v>3</v>
      </c>
      <c r="B7" s="25" t="s">
        <v>97</v>
      </c>
      <c r="C7" s="25" t="s">
        <v>106</v>
      </c>
      <c r="D7" s="24">
        <v>5</v>
      </c>
      <c r="E7" s="24" t="s">
        <v>107</v>
      </c>
      <c r="F7" s="17" t="s">
        <v>108</v>
      </c>
      <c r="G7" s="25" t="s">
        <v>101</v>
      </c>
      <c r="H7" s="26" t="s">
        <v>102</v>
      </c>
    </row>
    <row r="8" spans="1:8" ht="45.75" customHeight="1" x14ac:dyDescent="0.3">
      <c r="A8" s="24">
        <v>4</v>
      </c>
      <c r="B8" s="25" t="s">
        <v>97</v>
      </c>
      <c r="C8" s="25" t="s">
        <v>109</v>
      </c>
      <c r="D8" s="24"/>
      <c r="E8" s="24" t="s">
        <v>110</v>
      </c>
      <c r="F8" s="17" t="s">
        <v>111</v>
      </c>
      <c r="G8" s="25" t="s">
        <v>101</v>
      </c>
      <c r="H8" s="26" t="s">
        <v>102</v>
      </c>
    </row>
    <row r="9" spans="1:8" ht="45.75" customHeight="1" x14ac:dyDescent="0.3">
      <c r="A9" s="24">
        <v>5</v>
      </c>
      <c r="B9" s="25" t="s">
        <v>97</v>
      </c>
      <c r="C9" s="25" t="s">
        <v>112</v>
      </c>
      <c r="D9" s="24">
        <v>3</v>
      </c>
      <c r="E9" s="24" t="s">
        <v>113</v>
      </c>
      <c r="F9" s="17" t="s">
        <v>114</v>
      </c>
      <c r="G9" s="25" t="s">
        <v>115</v>
      </c>
      <c r="H9" s="27" t="s">
        <v>116</v>
      </c>
    </row>
    <row r="10" spans="1:8" ht="45.75" customHeight="1" x14ac:dyDescent="0.3">
      <c r="A10" s="24">
        <v>6</v>
      </c>
      <c r="B10" s="25" t="s">
        <v>97</v>
      </c>
      <c r="C10" s="25" t="s">
        <v>117</v>
      </c>
      <c r="D10" s="24">
        <v>2</v>
      </c>
      <c r="E10" s="24" t="s">
        <v>118</v>
      </c>
      <c r="F10" s="17" t="s">
        <v>119</v>
      </c>
      <c r="G10" s="25" t="s">
        <v>115</v>
      </c>
      <c r="H10" s="28" t="s">
        <v>120</v>
      </c>
    </row>
    <row r="11" spans="1:8" ht="45.75" customHeight="1" x14ac:dyDescent="0.3">
      <c r="A11" s="24">
        <v>7</v>
      </c>
      <c r="B11" s="25" t="s">
        <v>97</v>
      </c>
      <c r="C11" s="25" t="s">
        <v>121</v>
      </c>
      <c r="D11" s="24">
        <v>1</v>
      </c>
      <c r="E11" s="24" t="s">
        <v>122</v>
      </c>
      <c r="F11" s="17" t="s">
        <v>123</v>
      </c>
      <c r="G11" s="25" t="s">
        <v>124</v>
      </c>
      <c r="H11" s="28" t="s">
        <v>120</v>
      </c>
    </row>
    <row r="12" spans="1:8" ht="45.75" customHeight="1" x14ac:dyDescent="0.3">
      <c r="A12" s="24">
        <v>8</v>
      </c>
      <c r="B12" s="25" t="s">
        <v>97</v>
      </c>
      <c r="C12" s="25" t="s">
        <v>125</v>
      </c>
      <c r="D12" s="24">
        <v>2</v>
      </c>
      <c r="E12" s="24" t="s">
        <v>126</v>
      </c>
      <c r="F12" s="17" t="s">
        <v>127</v>
      </c>
      <c r="G12" s="25" t="s">
        <v>124</v>
      </c>
      <c r="H12" s="28" t="s">
        <v>120</v>
      </c>
    </row>
    <row r="13" spans="1:8" ht="45.75" customHeight="1" x14ac:dyDescent="0.3">
      <c r="A13" s="24">
        <v>9</v>
      </c>
      <c r="B13" s="25" t="s">
        <v>97</v>
      </c>
      <c r="C13" s="25" t="s">
        <v>128</v>
      </c>
      <c r="D13" s="24">
        <v>4</v>
      </c>
      <c r="E13" s="24" t="s">
        <v>129</v>
      </c>
      <c r="F13" s="17" t="s">
        <v>130</v>
      </c>
      <c r="G13" s="25" t="s">
        <v>131</v>
      </c>
      <c r="H13" s="27" t="s">
        <v>116</v>
      </c>
    </row>
    <row r="14" spans="1:8" ht="45.75" customHeight="1" x14ac:dyDescent="0.3">
      <c r="A14" s="24">
        <v>10</v>
      </c>
      <c r="B14" s="25" t="s">
        <v>132</v>
      </c>
      <c r="C14" s="25" t="s">
        <v>133</v>
      </c>
      <c r="D14" s="24"/>
      <c r="E14" s="24" t="s">
        <v>110</v>
      </c>
      <c r="F14" s="17" t="s">
        <v>134</v>
      </c>
      <c r="G14" s="25" t="s">
        <v>131</v>
      </c>
      <c r="H14" s="28" t="s">
        <v>120</v>
      </c>
    </row>
    <row r="15" spans="1:8" ht="45.75" customHeight="1" x14ac:dyDescent="0.3">
      <c r="A15" s="24">
        <v>11</v>
      </c>
      <c r="B15" s="25" t="s">
        <v>97</v>
      </c>
      <c r="C15" s="25" t="s">
        <v>135</v>
      </c>
      <c r="D15" s="24">
        <v>2</v>
      </c>
      <c r="E15" s="24" t="s">
        <v>136</v>
      </c>
      <c r="F15" s="17" t="s">
        <v>137</v>
      </c>
      <c r="G15" s="25" t="s">
        <v>138</v>
      </c>
      <c r="H15" s="28" t="s">
        <v>120</v>
      </c>
    </row>
    <row r="16" spans="1:8" ht="45.75" customHeight="1" x14ac:dyDescent="0.3">
      <c r="A16" s="24">
        <v>12</v>
      </c>
      <c r="B16" s="25" t="s">
        <v>97</v>
      </c>
      <c r="C16" s="25" t="s">
        <v>139</v>
      </c>
      <c r="D16" s="24">
        <v>3</v>
      </c>
      <c r="E16" s="24" t="s">
        <v>140</v>
      </c>
      <c r="F16" s="17" t="s">
        <v>141</v>
      </c>
      <c r="G16" s="25" t="s">
        <v>138</v>
      </c>
      <c r="H16" s="27" t="s">
        <v>116</v>
      </c>
    </row>
    <row r="17" spans="1:8" ht="45.75" customHeight="1" x14ac:dyDescent="0.3">
      <c r="A17" s="24">
        <v>13</v>
      </c>
      <c r="B17" s="25" t="s">
        <v>97</v>
      </c>
      <c r="C17" s="25" t="s">
        <v>142</v>
      </c>
      <c r="D17" s="24">
        <v>5</v>
      </c>
      <c r="E17" s="24" t="s">
        <v>143</v>
      </c>
      <c r="F17" s="17" t="s">
        <v>144</v>
      </c>
      <c r="G17" s="25" t="s">
        <v>101</v>
      </c>
      <c r="H17" s="26" t="s">
        <v>102</v>
      </c>
    </row>
    <row r="19" spans="1:8" ht="15" customHeight="1" x14ac:dyDescent="0.3">
      <c r="A19" s="11" t="s">
        <v>145</v>
      </c>
      <c r="B19" s="11"/>
      <c r="C19" s="11"/>
      <c r="D19" s="11"/>
      <c r="E19" s="11"/>
      <c r="F19" s="11"/>
      <c r="G19" s="11"/>
      <c r="H19" s="11"/>
    </row>
    <row r="22" spans="1:8" ht="15.6" x14ac:dyDescent="0.3">
      <c r="A22" s="15" t="s">
        <v>146</v>
      </c>
    </row>
    <row r="23" spans="1:8" ht="15" customHeight="1" x14ac:dyDescent="0.3">
      <c r="A23" s="11" t="s">
        <v>147</v>
      </c>
      <c r="B23" s="11"/>
      <c r="C23" s="11"/>
      <c r="D23" s="11"/>
      <c r="E23" s="11"/>
      <c r="F23" s="11"/>
      <c r="G23" s="11"/>
      <c r="H23" s="11"/>
    </row>
    <row r="25" spans="1:8" ht="24" customHeight="1" x14ac:dyDescent="0.3">
      <c r="A25" s="16" t="s">
        <v>89</v>
      </c>
      <c r="B25" s="16" t="s">
        <v>148</v>
      </c>
      <c r="C25" s="16" t="s">
        <v>149</v>
      </c>
      <c r="D25" s="16" t="s">
        <v>150</v>
      </c>
      <c r="E25" s="16" t="s">
        <v>151</v>
      </c>
    </row>
    <row r="26" spans="1:8" ht="92.4" x14ac:dyDescent="0.3">
      <c r="A26" s="17">
        <v>1</v>
      </c>
      <c r="B26" s="17" t="s">
        <v>152</v>
      </c>
      <c r="C26" s="17" t="s">
        <v>153</v>
      </c>
      <c r="D26" s="29">
        <f>AVERAGE('Respuestas Encuesta'!D6:D55)</f>
        <v>7.42</v>
      </c>
      <c r="E26" s="17" t="s">
        <v>154</v>
      </c>
    </row>
    <row r="27" spans="1:8" ht="79.2" x14ac:dyDescent="0.3">
      <c r="A27" s="17">
        <v>2</v>
      </c>
      <c r="B27" s="17" t="s">
        <v>155</v>
      </c>
      <c r="C27" s="17" t="s">
        <v>156</v>
      </c>
      <c r="D27" s="29">
        <f>AVERAGE('Respuestas Encuesta'!F6:F55)</f>
        <v>3.76</v>
      </c>
      <c r="E27" s="17" t="s">
        <v>157</v>
      </c>
    </row>
    <row r="28" spans="1:8" ht="39.6" x14ac:dyDescent="0.3">
      <c r="A28" s="17">
        <v>3</v>
      </c>
      <c r="B28" s="17" t="s">
        <v>158</v>
      </c>
      <c r="C28" s="17" t="s">
        <v>159</v>
      </c>
      <c r="D28" s="29">
        <f>AVERAGE('Respuestas Encuesta'!G6:G55)</f>
        <v>3.26</v>
      </c>
      <c r="E28" s="17" t="s">
        <v>157</v>
      </c>
    </row>
    <row r="29" spans="1:8" ht="68.400000000000006" x14ac:dyDescent="0.3">
      <c r="A29" s="17">
        <v>4</v>
      </c>
      <c r="B29" s="17" t="s">
        <v>160</v>
      </c>
      <c r="C29" s="17" t="s">
        <v>161</v>
      </c>
      <c r="D29" s="22" t="s">
        <v>162</v>
      </c>
      <c r="E29" s="17" t="s">
        <v>163</v>
      </c>
    </row>
    <row r="30" spans="1:8" ht="91.2" x14ac:dyDescent="0.3">
      <c r="A30" s="17">
        <v>5</v>
      </c>
      <c r="B30" s="17" t="s">
        <v>164</v>
      </c>
      <c r="C30" s="17" t="s">
        <v>165</v>
      </c>
      <c r="D30" s="22" t="s">
        <v>166</v>
      </c>
      <c r="E30" s="17" t="s">
        <v>163</v>
      </c>
    </row>
    <row r="31" spans="1:8" ht="15" customHeight="1" x14ac:dyDescent="0.3">
      <c r="A31" s="5" t="s">
        <v>167</v>
      </c>
      <c r="B31" s="5"/>
      <c r="C31" s="5"/>
      <c r="D31" s="5"/>
      <c r="E31" s="5"/>
      <c r="F31" s="5"/>
      <c r="G31" s="5"/>
      <c r="H31" s="5"/>
    </row>
  </sheetData>
  <mergeCells count="5">
    <mergeCell ref="A1:H1"/>
    <mergeCell ref="A2:H2"/>
    <mergeCell ref="A19:H19"/>
    <mergeCell ref="A23:H23"/>
    <mergeCell ref="A31:H3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5"/>
  <sheetViews>
    <sheetView showGridLines="0" zoomScaleNormal="100" workbookViewId="0">
      <pane ySplit="5" topLeftCell="A32" activePane="bottomLeft" state="frozen"/>
      <selection pane="bottomLeft" sqref="A1:J1"/>
    </sheetView>
  </sheetViews>
  <sheetFormatPr baseColWidth="10" defaultColWidth="8.6640625" defaultRowHeight="14.4" x14ac:dyDescent="0.3"/>
  <cols>
    <col min="1" max="1" width="8" customWidth="1"/>
    <col min="2" max="2" width="12" customWidth="1"/>
    <col min="3" max="3" width="20" customWidth="1"/>
    <col min="4" max="4" width="12" customWidth="1"/>
    <col min="5" max="5" width="15" customWidth="1"/>
    <col min="6" max="7" width="10" customWidth="1"/>
    <col min="8" max="8" width="26" customWidth="1"/>
    <col min="9" max="10" width="34" customWidth="1"/>
  </cols>
  <sheetData>
    <row r="1" spans="1:10" ht="25.5" customHeight="1" x14ac:dyDescent="0.3">
      <c r="A1" s="14" t="s">
        <v>168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75" customHeight="1" x14ac:dyDescent="0.3">
      <c r="A2" s="13" t="s">
        <v>169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5" customHeight="1" x14ac:dyDescent="0.3">
      <c r="A3" s="5" t="s">
        <v>170</v>
      </c>
      <c r="B3" s="5"/>
      <c r="C3" s="5"/>
      <c r="D3" s="5"/>
      <c r="E3" s="5"/>
      <c r="F3" s="5"/>
      <c r="G3" s="5"/>
      <c r="H3" s="5"/>
      <c r="I3" s="5"/>
      <c r="J3" s="5"/>
    </row>
    <row r="5" spans="1:10" ht="33.75" customHeight="1" x14ac:dyDescent="0.3">
      <c r="A5" s="16" t="s">
        <v>171</v>
      </c>
      <c r="B5" s="16" t="s">
        <v>172</v>
      </c>
      <c r="C5" s="16" t="s">
        <v>173</v>
      </c>
      <c r="D5" s="16" t="s">
        <v>174</v>
      </c>
      <c r="E5" s="16" t="s">
        <v>175</v>
      </c>
      <c r="F5" s="16" t="s">
        <v>176</v>
      </c>
      <c r="G5" s="16" t="s">
        <v>177</v>
      </c>
      <c r="H5" s="16" t="s">
        <v>178</v>
      </c>
      <c r="I5" s="16" t="s">
        <v>179</v>
      </c>
      <c r="J5" s="16" t="s">
        <v>94</v>
      </c>
    </row>
    <row r="6" spans="1:10" ht="27.75" customHeight="1" x14ac:dyDescent="0.3">
      <c r="A6" s="24" t="s">
        <v>180</v>
      </c>
      <c r="B6" s="30">
        <v>46211</v>
      </c>
      <c r="C6" s="24" t="s">
        <v>97</v>
      </c>
      <c r="D6" s="24">
        <v>10</v>
      </c>
      <c r="E6" s="26" t="str">
        <f t="shared" ref="E6:E37" si="0">IF(D6&gt;=9,"Promotor",IF(D6&gt;=7,"Pasivo","Detractor"))</f>
        <v>Promotor</v>
      </c>
      <c r="F6" s="24">
        <v>4</v>
      </c>
      <c r="G6" s="24">
        <v>5</v>
      </c>
      <c r="H6" s="17" t="s">
        <v>181</v>
      </c>
      <c r="I6" s="17" t="s">
        <v>182</v>
      </c>
      <c r="J6" s="17" t="s">
        <v>183</v>
      </c>
    </row>
    <row r="7" spans="1:10" ht="27.75" customHeight="1" x14ac:dyDescent="0.3">
      <c r="A7" s="24" t="s">
        <v>184</v>
      </c>
      <c r="B7" s="30">
        <v>46174</v>
      </c>
      <c r="C7" s="24" t="s">
        <v>185</v>
      </c>
      <c r="D7" s="24">
        <v>8</v>
      </c>
      <c r="E7" s="27" t="str">
        <f t="shared" si="0"/>
        <v>Pasivo</v>
      </c>
      <c r="F7" s="24">
        <v>2</v>
      </c>
      <c r="G7" s="24">
        <v>1</v>
      </c>
      <c r="H7" s="17" t="s">
        <v>181</v>
      </c>
      <c r="I7" s="17" t="s">
        <v>115</v>
      </c>
      <c r="J7" s="17" t="s">
        <v>186</v>
      </c>
    </row>
    <row r="8" spans="1:10" ht="27.75" customHeight="1" x14ac:dyDescent="0.3">
      <c r="A8" s="24" t="s">
        <v>187</v>
      </c>
      <c r="B8" s="30">
        <v>46196</v>
      </c>
      <c r="C8" s="24" t="s">
        <v>132</v>
      </c>
      <c r="D8" s="24">
        <v>10</v>
      </c>
      <c r="E8" s="26" t="str">
        <f t="shared" si="0"/>
        <v>Promotor</v>
      </c>
      <c r="F8" s="24">
        <v>4</v>
      </c>
      <c r="G8" s="24">
        <v>3</v>
      </c>
      <c r="H8" s="17" t="s">
        <v>188</v>
      </c>
      <c r="I8" s="17" t="s">
        <v>101</v>
      </c>
      <c r="J8" s="17" t="s">
        <v>189</v>
      </c>
    </row>
    <row r="9" spans="1:10" ht="27.75" customHeight="1" x14ac:dyDescent="0.3">
      <c r="A9" s="24" t="s">
        <v>190</v>
      </c>
      <c r="B9" s="30">
        <v>46183</v>
      </c>
      <c r="C9" s="24" t="s">
        <v>191</v>
      </c>
      <c r="D9" s="24">
        <v>7</v>
      </c>
      <c r="E9" s="27" t="str">
        <f t="shared" si="0"/>
        <v>Pasivo</v>
      </c>
      <c r="F9" s="24">
        <v>4</v>
      </c>
      <c r="G9" s="24">
        <v>2</v>
      </c>
      <c r="H9" s="17" t="s">
        <v>192</v>
      </c>
      <c r="I9" s="17" t="s">
        <v>182</v>
      </c>
      <c r="J9" s="17" t="s">
        <v>193</v>
      </c>
    </row>
    <row r="10" spans="1:10" ht="27.75" customHeight="1" x14ac:dyDescent="0.3">
      <c r="A10" s="24" t="s">
        <v>194</v>
      </c>
      <c r="B10" s="30">
        <v>46151</v>
      </c>
      <c r="C10" s="24" t="s">
        <v>185</v>
      </c>
      <c r="D10" s="24">
        <v>10</v>
      </c>
      <c r="E10" s="26" t="str">
        <f t="shared" si="0"/>
        <v>Promotor</v>
      </c>
      <c r="F10" s="24">
        <v>4</v>
      </c>
      <c r="G10" s="24">
        <v>3</v>
      </c>
      <c r="H10" s="17" t="s">
        <v>195</v>
      </c>
      <c r="I10" s="17" t="s">
        <v>101</v>
      </c>
      <c r="J10" s="17" t="s">
        <v>196</v>
      </c>
    </row>
    <row r="11" spans="1:10" ht="27.75" customHeight="1" x14ac:dyDescent="0.3">
      <c r="A11" s="24" t="s">
        <v>197</v>
      </c>
      <c r="B11" s="30">
        <v>46188</v>
      </c>
      <c r="C11" s="24" t="s">
        <v>132</v>
      </c>
      <c r="D11" s="24">
        <v>2</v>
      </c>
      <c r="E11" s="28" t="str">
        <f t="shared" si="0"/>
        <v>Detractor</v>
      </c>
      <c r="F11" s="24">
        <v>1</v>
      </c>
      <c r="G11" s="24">
        <v>2</v>
      </c>
      <c r="H11" s="17" t="s">
        <v>188</v>
      </c>
      <c r="I11" s="17" t="s">
        <v>138</v>
      </c>
      <c r="J11" s="17" t="s">
        <v>198</v>
      </c>
    </row>
    <row r="12" spans="1:10" ht="27.75" customHeight="1" x14ac:dyDescent="0.3">
      <c r="A12" s="24" t="s">
        <v>199</v>
      </c>
      <c r="B12" s="30">
        <v>46206</v>
      </c>
      <c r="C12" s="24" t="s">
        <v>185</v>
      </c>
      <c r="D12" s="24">
        <v>9</v>
      </c>
      <c r="E12" s="26" t="str">
        <f t="shared" si="0"/>
        <v>Promotor</v>
      </c>
      <c r="F12" s="24">
        <v>5</v>
      </c>
      <c r="G12" s="24">
        <v>4</v>
      </c>
      <c r="H12" s="17" t="s">
        <v>200</v>
      </c>
      <c r="I12" s="17" t="s">
        <v>101</v>
      </c>
      <c r="J12" s="17" t="s">
        <v>196</v>
      </c>
    </row>
    <row r="13" spans="1:10" ht="27.75" customHeight="1" x14ac:dyDescent="0.3">
      <c r="A13" s="24" t="s">
        <v>201</v>
      </c>
      <c r="B13" s="30">
        <v>46196</v>
      </c>
      <c r="C13" s="24" t="s">
        <v>191</v>
      </c>
      <c r="D13" s="24">
        <v>9</v>
      </c>
      <c r="E13" s="26" t="str">
        <f t="shared" si="0"/>
        <v>Promotor</v>
      </c>
      <c r="F13" s="24">
        <v>5</v>
      </c>
      <c r="G13" s="24">
        <v>2</v>
      </c>
      <c r="H13" s="17" t="s">
        <v>192</v>
      </c>
      <c r="I13" s="17" t="s">
        <v>115</v>
      </c>
      <c r="J13" s="17" t="s">
        <v>202</v>
      </c>
    </row>
    <row r="14" spans="1:10" ht="27.75" customHeight="1" x14ac:dyDescent="0.3">
      <c r="A14" s="24" t="s">
        <v>203</v>
      </c>
      <c r="B14" s="30">
        <v>46205</v>
      </c>
      <c r="C14" s="24" t="s">
        <v>132</v>
      </c>
      <c r="D14" s="24">
        <v>7</v>
      </c>
      <c r="E14" s="27" t="str">
        <f t="shared" si="0"/>
        <v>Pasivo</v>
      </c>
      <c r="F14" s="24">
        <v>5</v>
      </c>
      <c r="G14" s="24">
        <v>4</v>
      </c>
      <c r="H14" s="17" t="s">
        <v>181</v>
      </c>
      <c r="I14" s="17" t="s">
        <v>101</v>
      </c>
      <c r="J14" s="17" t="s">
        <v>204</v>
      </c>
    </row>
    <row r="15" spans="1:10" ht="27.75" customHeight="1" x14ac:dyDescent="0.3">
      <c r="A15" s="24" t="s">
        <v>205</v>
      </c>
      <c r="B15" s="30">
        <v>46159</v>
      </c>
      <c r="C15" s="24" t="s">
        <v>185</v>
      </c>
      <c r="D15" s="24">
        <v>8</v>
      </c>
      <c r="E15" s="27" t="str">
        <f t="shared" si="0"/>
        <v>Pasivo</v>
      </c>
      <c r="F15" s="24">
        <v>5</v>
      </c>
      <c r="G15" s="24">
        <v>4</v>
      </c>
      <c r="H15" s="17" t="s">
        <v>192</v>
      </c>
      <c r="I15" s="17" t="s">
        <v>124</v>
      </c>
      <c r="J15" s="17" t="s">
        <v>206</v>
      </c>
    </row>
    <row r="16" spans="1:10" ht="27.75" customHeight="1" x14ac:dyDescent="0.3">
      <c r="A16" s="24" t="s">
        <v>207</v>
      </c>
      <c r="B16" s="30">
        <v>46151</v>
      </c>
      <c r="C16" s="24" t="s">
        <v>132</v>
      </c>
      <c r="D16" s="24">
        <v>3</v>
      </c>
      <c r="E16" s="28" t="str">
        <f t="shared" si="0"/>
        <v>Detractor</v>
      </c>
      <c r="F16" s="24">
        <v>2</v>
      </c>
      <c r="G16" s="24">
        <v>2</v>
      </c>
      <c r="H16" s="17" t="s">
        <v>188</v>
      </c>
      <c r="I16" s="17" t="s">
        <v>115</v>
      </c>
      <c r="J16" s="17" t="s">
        <v>208</v>
      </c>
    </row>
    <row r="17" spans="1:10" ht="27.75" customHeight="1" x14ac:dyDescent="0.3">
      <c r="A17" s="24" t="s">
        <v>209</v>
      </c>
      <c r="B17" s="30">
        <v>46211</v>
      </c>
      <c r="C17" s="24" t="s">
        <v>185</v>
      </c>
      <c r="D17" s="24">
        <v>7</v>
      </c>
      <c r="E17" s="27" t="str">
        <f t="shared" si="0"/>
        <v>Pasivo</v>
      </c>
      <c r="F17" s="24">
        <v>4</v>
      </c>
      <c r="G17" s="24">
        <v>2</v>
      </c>
      <c r="H17" s="17" t="s">
        <v>192</v>
      </c>
      <c r="I17" s="17" t="s">
        <v>101</v>
      </c>
      <c r="J17" s="17" t="s">
        <v>204</v>
      </c>
    </row>
    <row r="18" spans="1:10" ht="27.75" customHeight="1" x14ac:dyDescent="0.3">
      <c r="A18" s="24" t="s">
        <v>210</v>
      </c>
      <c r="B18" s="30">
        <v>46187</v>
      </c>
      <c r="C18" s="24" t="s">
        <v>191</v>
      </c>
      <c r="D18" s="24">
        <v>7</v>
      </c>
      <c r="E18" s="27" t="str">
        <f t="shared" si="0"/>
        <v>Pasivo</v>
      </c>
      <c r="F18" s="24">
        <v>3</v>
      </c>
      <c r="G18" s="24">
        <v>2</v>
      </c>
      <c r="H18" s="17" t="s">
        <v>211</v>
      </c>
      <c r="I18" s="17" t="s">
        <v>131</v>
      </c>
      <c r="J18" s="17" t="s">
        <v>212</v>
      </c>
    </row>
    <row r="19" spans="1:10" ht="27.75" customHeight="1" x14ac:dyDescent="0.3">
      <c r="A19" s="24" t="s">
        <v>213</v>
      </c>
      <c r="B19" s="30">
        <v>46182</v>
      </c>
      <c r="C19" s="24" t="s">
        <v>185</v>
      </c>
      <c r="D19" s="24">
        <v>10</v>
      </c>
      <c r="E19" s="26" t="str">
        <f t="shared" si="0"/>
        <v>Promotor</v>
      </c>
      <c r="F19" s="24">
        <v>4</v>
      </c>
      <c r="G19" s="24">
        <v>5</v>
      </c>
      <c r="H19" s="17" t="s">
        <v>200</v>
      </c>
      <c r="I19" s="17" t="s">
        <v>138</v>
      </c>
      <c r="J19" s="17" t="s">
        <v>198</v>
      </c>
    </row>
    <row r="20" spans="1:10" ht="27.75" customHeight="1" x14ac:dyDescent="0.3">
      <c r="A20" s="24" t="s">
        <v>214</v>
      </c>
      <c r="B20" s="30">
        <v>46169</v>
      </c>
      <c r="C20" s="24" t="s">
        <v>191</v>
      </c>
      <c r="D20" s="24">
        <v>9</v>
      </c>
      <c r="E20" s="26" t="str">
        <f t="shared" si="0"/>
        <v>Promotor</v>
      </c>
      <c r="F20" s="24">
        <v>5</v>
      </c>
      <c r="G20" s="24">
        <v>4</v>
      </c>
      <c r="H20" s="17" t="s">
        <v>192</v>
      </c>
      <c r="I20" s="17" t="s">
        <v>101</v>
      </c>
      <c r="J20" s="17" t="s">
        <v>204</v>
      </c>
    </row>
    <row r="21" spans="1:10" ht="27.75" customHeight="1" x14ac:dyDescent="0.3">
      <c r="A21" s="24" t="s">
        <v>215</v>
      </c>
      <c r="B21" s="30">
        <v>46209</v>
      </c>
      <c r="C21" s="24" t="s">
        <v>191</v>
      </c>
      <c r="D21" s="24">
        <v>6</v>
      </c>
      <c r="E21" s="28" t="str">
        <f t="shared" si="0"/>
        <v>Detractor</v>
      </c>
      <c r="F21" s="24">
        <v>2</v>
      </c>
      <c r="G21" s="24">
        <v>1</v>
      </c>
      <c r="H21" s="17" t="s">
        <v>211</v>
      </c>
      <c r="I21" s="17" t="s">
        <v>182</v>
      </c>
      <c r="J21" s="17" t="s">
        <v>183</v>
      </c>
    </row>
    <row r="22" spans="1:10" ht="27.75" customHeight="1" x14ac:dyDescent="0.3">
      <c r="A22" s="24" t="s">
        <v>216</v>
      </c>
      <c r="B22" s="30">
        <v>46171</v>
      </c>
      <c r="C22" s="24" t="s">
        <v>132</v>
      </c>
      <c r="D22" s="24">
        <v>9</v>
      </c>
      <c r="E22" s="26" t="str">
        <f t="shared" si="0"/>
        <v>Promotor</v>
      </c>
      <c r="F22" s="24">
        <v>5</v>
      </c>
      <c r="G22" s="24">
        <v>5</v>
      </c>
      <c r="H22" s="17" t="s">
        <v>195</v>
      </c>
      <c r="I22" s="17" t="s">
        <v>101</v>
      </c>
      <c r="J22" s="17" t="s">
        <v>189</v>
      </c>
    </row>
    <row r="23" spans="1:10" ht="27.75" customHeight="1" x14ac:dyDescent="0.3">
      <c r="A23" s="24" t="s">
        <v>217</v>
      </c>
      <c r="B23" s="30">
        <v>46146</v>
      </c>
      <c r="C23" s="24" t="s">
        <v>185</v>
      </c>
      <c r="D23" s="24">
        <v>9</v>
      </c>
      <c r="E23" s="26" t="str">
        <f t="shared" si="0"/>
        <v>Promotor</v>
      </c>
      <c r="F23" s="24">
        <v>4</v>
      </c>
      <c r="G23" s="24">
        <v>5</v>
      </c>
      <c r="H23" s="17" t="s">
        <v>195</v>
      </c>
      <c r="I23" s="17" t="s">
        <v>101</v>
      </c>
      <c r="J23" s="17" t="s">
        <v>189</v>
      </c>
    </row>
    <row r="24" spans="1:10" ht="27.75" customHeight="1" x14ac:dyDescent="0.3">
      <c r="A24" s="24" t="s">
        <v>218</v>
      </c>
      <c r="B24" s="30">
        <v>46187</v>
      </c>
      <c r="C24" s="24" t="s">
        <v>191</v>
      </c>
      <c r="D24" s="24">
        <v>10</v>
      </c>
      <c r="E24" s="26" t="str">
        <f t="shared" si="0"/>
        <v>Promotor</v>
      </c>
      <c r="F24" s="24">
        <v>5</v>
      </c>
      <c r="G24" s="24">
        <v>4</v>
      </c>
      <c r="H24" s="17" t="s">
        <v>200</v>
      </c>
      <c r="I24" s="17" t="s">
        <v>182</v>
      </c>
      <c r="J24" s="17" t="s">
        <v>193</v>
      </c>
    </row>
    <row r="25" spans="1:10" ht="27.75" customHeight="1" x14ac:dyDescent="0.3">
      <c r="A25" s="24" t="s">
        <v>219</v>
      </c>
      <c r="B25" s="30">
        <v>46143</v>
      </c>
      <c r="C25" s="24" t="s">
        <v>97</v>
      </c>
      <c r="D25" s="24">
        <v>0</v>
      </c>
      <c r="E25" s="28" t="str">
        <f t="shared" si="0"/>
        <v>Detractor</v>
      </c>
      <c r="F25" s="24">
        <v>3</v>
      </c>
      <c r="G25" s="24">
        <v>1</v>
      </c>
      <c r="H25" s="17" t="s">
        <v>200</v>
      </c>
      <c r="I25" s="17" t="s">
        <v>115</v>
      </c>
      <c r="J25" s="17" t="s">
        <v>186</v>
      </c>
    </row>
    <row r="26" spans="1:10" ht="27.75" customHeight="1" x14ac:dyDescent="0.3">
      <c r="A26" s="24" t="s">
        <v>220</v>
      </c>
      <c r="B26" s="30">
        <v>46165</v>
      </c>
      <c r="C26" s="24" t="s">
        <v>97</v>
      </c>
      <c r="D26" s="24">
        <v>6</v>
      </c>
      <c r="E26" s="28" t="str">
        <f t="shared" si="0"/>
        <v>Detractor</v>
      </c>
      <c r="F26" s="24">
        <v>2</v>
      </c>
      <c r="G26" s="24">
        <v>3</v>
      </c>
      <c r="H26" s="17" t="s">
        <v>181</v>
      </c>
      <c r="I26" s="17" t="s">
        <v>182</v>
      </c>
      <c r="J26" s="17" t="s">
        <v>183</v>
      </c>
    </row>
    <row r="27" spans="1:10" ht="27.75" customHeight="1" x14ac:dyDescent="0.3">
      <c r="A27" s="24" t="s">
        <v>221</v>
      </c>
      <c r="B27" s="30">
        <v>46153</v>
      </c>
      <c r="C27" s="24" t="s">
        <v>132</v>
      </c>
      <c r="D27" s="24">
        <v>10</v>
      </c>
      <c r="E27" s="26" t="str">
        <f t="shared" si="0"/>
        <v>Promotor</v>
      </c>
      <c r="F27" s="24">
        <v>3</v>
      </c>
      <c r="G27" s="24">
        <v>5</v>
      </c>
      <c r="H27" s="17" t="s">
        <v>200</v>
      </c>
      <c r="I27" s="17" t="s">
        <v>182</v>
      </c>
      <c r="J27" s="17" t="s">
        <v>193</v>
      </c>
    </row>
    <row r="28" spans="1:10" ht="27.75" customHeight="1" x14ac:dyDescent="0.3">
      <c r="A28" s="24" t="s">
        <v>222</v>
      </c>
      <c r="B28" s="30">
        <v>46203</v>
      </c>
      <c r="C28" s="24" t="s">
        <v>191</v>
      </c>
      <c r="D28" s="24">
        <v>0</v>
      </c>
      <c r="E28" s="28" t="str">
        <f t="shared" si="0"/>
        <v>Detractor</v>
      </c>
      <c r="F28" s="24">
        <v>3</v>
      </c>
      <c r="G28" s="24">
        <v>3</v>
      </c>
      <c r="H28" s="17" t="s">
        <v>181</v>
      </c>
      <c r="I28" s="17" t="s">
        <v>182</v>
      </c>
      <c r="J28" s="17" t="s">
        <v>193</v>
      </c>
    </row>
    <row r="29" spans="1:10" ht="27.75" customHeight="1" x14ac:dyDescent="0.3">
      <c r="A29" s="24" t="s">
        <v>223</v>
      </c>
      <c r="B29" s="30">
        <v>46198</v>
      </c>
      <c r="C29" s="24" t="s">
        <v>132</v>
      </c>
      <c r="D29" s="24">
        <v>9</v>
      </c>
      <c r="E29" s="26" t="str">
        <f t="shared" si="0"/>
        <v>Promotor</v>
      </c>
      <c r="F29" s="24">
        <v>5</v>
      </c>
      <c r="G29" s="24">
        <v>3</v>
      </c>
      <c r="H29" s="17" t="s">
        <v>192</v>
      </c>
      <c r="I29" s="17" t="s">
        <v>138</v>
      </c>
      <c r="J29" s="17" t="s">
        <v>224</v>
      </c>
    </row>
    <row r="30" spans="1:10" ht="27.75" customHeight="1" x14ac:dyDescent="0.3">
      <c r="A30" s="24" t="s">
        <v>225</v>
      </c>
      <c r="B30" s="30">
        <v>46212</v>
      </c>
      <c r="C30" s="24" t="s">
        <v>97</v>
      </c>
      <c r="D30" s="24">
        <v>7</v>
      </c>
      <c r="E30" s="27" t="str">
        <f t="shared" si="0"/>
        <v>Pasivo</v>
      </c>
      <c r="F30" s="24">
        <v>4</v>
      </c>
      <c r="G30" s="24">
        <v>4</v>
      </c>
      <c r="H30" s="17" t="s">
        <v>195</v>
      </c>
      <c r="I30" s="17" t="s">
        <v>124</v>
      </c>
      <c r="J30" s="17" t="s">
        <v>206</v>
      </c>
    </row>
    <row r="31" spans="1:10" ht="27.75" customHeight="1" x14ac:dyDescent="0.3">
      <c r="A31" s="24" t="s">
        <v>226</v>
      </c>
      <c r="B31" s="30">
        <v>46207</v>
      </c>
      <c r="C31" s="24" t="s">
        <v>132</v>
      </c>
      <c r="D31" s="24">
        <v>9</v>
      </c>
      <c r="E31" s="26" t="str">
        <f t="shared" si="0"/>
        <v>Promotor</v>
      </c>
      <c r="F31" s="24">
        <v>5</v>
      </c>
      <c r="G31" s="24">
        <v>5</v>
      </c>
      <c r="H31" s="17" t="s">
        <v>192</v>
      </c>
      <c r="I31" s="17" t="s">
        <v>101</v>
      </c>
      <c r="J31" s="17" t="s">
        <v>196</v>
      </c>
    </row>
    <row r="32" spans="1:10" ht="27.75" customHeight="1" x14ac:dyDescent="0.3">
      <c r="A32" s="24" t="s">
        <v>227</v>
      </c>
      <c r="B32" s="30">
        <v>46161</v>
      </c>
      <c r="C32" s="24" t="s">
        <v>97</v>
      </c>
      <c r="D32" s="24">
        <v>7</v>
      </c>
      <c r="E32" s="27" t="str">
        <f t="shared" si="0"/>
        <v>Pasivo</v>
      </c>
      <c r="F32" s="24">
        <v>4</v>
      </c>
      <c r="G32" s="24">
        <v>2</v>
      </c>
      <c r="H32" s="17" t="s">
        <v>181</v>
      </c>
      <c r="I32" s="17" t="s">
        <v>101</v>
      </c>
      <c r="J32" s="17" t="s">
        <v>204</v>
      </c>
    </row>
    <row r="33" spans="1:10" ht="27.75" customHeight="1" x14ac:dyDescent="0.3">
      <c r="A33" s="24" t="s">
        <v>228</v>
      </c>
      <c r="B33" s="30">
        <v>46150</v>
      </c>
      <c r="C33" s="24" t="s">
        <v>132</v>
      </c>
      <c r="D33" s="24">
        <v>9</v>
      </c>
      <c r="E33" s="26" t="str">
        <f t="shared" si="0"/>
        <v>Promotor</v>
      </c>
      <c r="F33" s="24">
        <v>4</v>
      </c>
      <c r="G33" s="24">
        <v>5</v>
      </c>
      <c r="H33" s="17" t="s">
        <v>188</v>
      </c>
      <c r="I33" s="17" t="s">
        <v>101</v>
      </c>
      <c r="J33" s="17" t="s">
        <v>189</v>
      </c>
    </row>
    <row r="34" spans="1:10" ht="27.75" customHeight="1" x14ac:dyDescent="0.3">
      <c r="A34" s="24" t="s">
        <v>229</v>
      </c>
      <c r="B34" s="30">
        <v>46199</v>
      </c>
      <c r="C34" s="24" t="s">
        <v>191</v>
      </c>
      <c r="D34" s="24">
        <v>0</v>
      </c>
      <c r="E34" s="28" t="str">
        <f t="shared" si="0"/>
        <v>Detractor</v>
      </c>
      <c r="F34" s="24">
        <v>1</v>
      </c>
      <c r="G34" s="24">
        <v>3</v>
      </c>
      <c r="H34" s="17" t="s">
        <v>188</v>
      </c>
      <c r="I34" s="17" t="s">
        <v>124</v>
      </c>
      <c r="J34" s="17" t="s">
        <v>230</v>
      </c>
    </row>
    <row r="35" spans="1:10" ht="27.75" customHeight="1" x14ac:dyDescent="0.3">
      <c r="A35" s="24" t="s">
        <v>231</v>
      </c>
      <c r="B35" s="30">
        <v>46209</v>
      </c>
      <c r="C35" s="24" t="s">
        <v>191</v>
      </c>
      <c r="D35" s="24">
        <v>9</v>
      </c>
      <c r="E35" s="26" t="str">
        <f t="shared" si="0"/>
        <v>Promotor</v>
      </c>
      <c r="F35" s="24">
        <v>5</v>
      </c>
      <c r="G35" s="24">
        <v>5</v>
      </c>
      <c r="H35" s="17" t="s">
        <v>181</v>
      </c>
      <c r="I35" s="17" t="s">
        <v>182</v>
      </c>
      <c r="J35" s="17" t="s">
        <v>193</v>
      </c>
    </row>
    <row r="36" spans="1:10" ht="27.75" customHeight="1" x14ac:dyDescent="0.3">
      <c r="A36" s="24" t="s">
        <v>232</v>
      </c>
      <c r="B36" s="30">
        <v>46173</v>
      </c>
      <c r="C36" s="24" t="s">
        <v>97</v>
      </c>
      <c r="D36" s="24">
        <v>8</v>
      </c>
      <c r="E36" s="27" t="str">
        <f t="shared" si="0"/>
        <v>Pasivo</v>
      </c>
      <c r="F36" s="24">
        <v>4</v>
      </c>
      <c r="G36" s="24">
        <v>2</v>
      </c>
      <c r="H36" s="17" t="s">
        <v>188</v>
      </c>
      <c r="I36" s="17" t="s">
        <v>115</v>
      </c>
      <c r="J36" s="17" t="s">
        <v>186</v>
      </c>
    </row>
    <row r="37" spans="1:10" ht="27.75" customHeight="1" x14ac:dyDescent="0.3">
      <c r="A37" s="24" t="s">
        <v>233</v>
      </c>
      <c r="B37" s="30">
        <v>46189</v>
      </c>
      <c r="C37" s="24" t="s">
        <v>132</v>
      </c>
      <c r="D37" s="24">
        <v>9</v>
      </c>
      <c r="E37" s="26" t="str">
        <f t="shared" si="0"/>
        <v>Promotor</v>
      </c>
      <c r="F37" s="24">
        <v>5</v>
      </c>
      <c r="G37" s="24">
        <v>4</v>
      </c>
      <c r="H37" s="17" t="s">
        <v>211</v>
      </c>
      <c r="I37" s="17" t="s">
        <v>101</v>
      </c>
      <c r="J37" s="17" t="s">
        <v>189</v>
      </c>
    </row>
    <row r="38" spans="1:10" ht="27.75" customHeight="1" x14ac:dyDescent="0.3">
      <c r="A38" s="24" t="s">
        <v>234</v>
      </c>
      <c r="B38" s="30">
        <v>46171</v>
      </c>
      <c r="C38" s="24" t="s">
        <v>132</v>
      </c>
      <c r="D38" s="24">
        <v>3</v>
      </c>
      <c r="E38" s="28" t="str">
        <f t="shared" ref="E38:E69" si="1">IF(D38&gt;=9,"Promotor",IF(D38&gt;=7,"Pasivo","Detractor"))</f>
        <v>Detractor</v>
      </c>
      <c r="F38" s="24">
        <v>3</v>
      </c>
      <c r="G38" s="24">
        <v>2</v>
      </c>
      <c r="H38" s="17" t="s">
        <v>200</v>
      </c>
      <c r="I38" s="17" t="s">
        <v>182</v>
      </c>
      <c r="J38" s="17" t="s">
        <v>235</v>
      </c>
    </row>
    <row r="39" spans="1:10" ht="27.75" customHeight="1" x14ac:dyDescent="0.3">
      <c r="A39" s="24" t="s">
        <v>236</v>
      </c>
      <c r="B39" s="30">
        <v>46145</v>
      </c>
      <c r="C39" s="24" t="s">
        <v>191</v>
      </c>
      <c r="D39" s="24">
        <v>8</v>
      </c>
      <c r="E39" s="27" t="str">
        <f t="shared" si="1"/>
        <v>Pasivo</v>
      </c>
      <c r="F39" s="24">
        <v>4</v>
      </c>
      <c r="G39" s="24">
        <v>1</v>
      </c>
      <c r="H39" s="17" t="s">
        <v>211</v>
      </c>
      <c r="I39" s="17" t="s">
        <v>115</v>
      </c>
      <c r="J39" s="17" t="s">
        <v>202</v>
      </c>
    </row>
    <row r="40" spans="1:10" ht="27.75" customHeight="1" x14ac:dyDescent="0.3">
      <c r="A40" s="24" t="s">
        <v>237</v>
      </c>
      <c r="B40" s="30">
        <v>46151</v>
      </c>
      <c r="C40" s="24" t="s">
        <v>185</v>
      </c>
      <c r="D40" s="24">
        <v>8</v>
      </c>
      <c r="E40" s="27" t="str">
        <f t="shared" si="1"/>
        <v>Pasivo</v>
      </c>
      <c r="F40" s="24">
        <v>5</v>
      </c>
      <c r="G40" s="24">
        <v>3</v>
      </c>
      <c r="H40" s="17" t="s">
        <v>195</v>
      </c>
      <c r="I40" s="17" t="s">
        <v>115</v>
      </c>
      <c r="J40" s="17" t="s">
        <v>186</v>
      </c>
    </row>
    <row r="41" spans="1:10" ht="27.75" customHeight="1" x14ac:dyDescent="0.3">
      <c r="A41" s="24" t="s">
        <v>238</v>
      </c>
      <c r="B41" s="30">
        <v>46197</v>
      </c>
      <c r="C41" s="24" t="s">
        <v>191</v>
      </c>
      <c r="D41" s="24">
        <v>9</v>
      </c>
      <c r="E41" s="26" t="str">
        <f t="shared" si="1"/>
        <v>Promotor</v>
      </c>
      <c r="F41" s="24">
        <v>5</v>
      </c>
      <c r="G41" s="24">
        <v>4</v>
      </c>
      <c r="H41" s="17" t="s">
        <v>195</v>
      </c>
      <c r="I41" s="17" t="s">
        <v>101</v>
      </c>
      <c r="J41" s="17" t="s">
        <v>204</v>
      </c>
    </row>
    <row r="42" spans="1:10" ht="27.75" customHeight="1" x14ac:dyDescent="0.3">
      <c r="A42" s="24" t="s">
        <v>239</v>
      </c>
      <c r="B42" s="30">
        <v>46150</v>
      </c>
      <c r="C42" s="24" t="s">
        <v>132</v>
      </c>
      <c r="D42" s="24">
        <v>10</v>
      </c>
      <c r="E42" s="26" t="str">
        <f t="shared" si="1"/>
        <v>Promotor</v>
      </c>
      <c r="F42" s="24">
        <v>3</v>
      </c>
      <c r="G42" s="24">
        <v>4</v>
      </c>
      <c r="H42" s="17" t="s">
        <v>188</v>
      </c>
      <c r="I42" s="17" t="s">
        <v>182</v>
      </c>
      <c r="J42" s="17" t="s">
        <v>183</v>
      </c>
    </row>
    <row r="43" spans="1:10" ht="27.75" customHeight="1" x14ac:dyDescent="0.3">
      <c r="A43" s="24" t="s">
        <v>240</v>
      </c>
      <c r="B43" s="30">
        <v>46171</v>
      </c>
      <c r="C43" s="24" t="s">
        <v>185</v>
      </c>
      <c r="D43" s="24">
        <v>10</v>
      </c>
      <c r="E43" s="26" t="str">
        <f t="shared" si="1"/>
        <v>Promotor</v>
      </c>
      <c r="F43" s="24">
        <v>3</v>
      </c>
      <c r="G43" s="24">
        <v>4</v>
      </c>
      <c r="H43" s="17" t="s">
        <v>188</v>
      </c>
      <c r="I43" s="17" t="s">
        <v>182</v>
      </c>
      <c r="J43" s="17" t="s">
        <v>193</v>
      </c>
    </row>
    <row r="44" spans="1:10" ht="27.75" customHeight="1" x14ac:dyDescent="0.3">
      <c r="A44" s="24" t="s">
        <v>241</v>
      </c>
      <c r="B44" s="30">
        <v>46159</v>
      </c>
      <c r="C44" s="24" t="s">
        <v>185</v>
      </c>
      <c r="D44" s="24">
        <v>7</v>
      </c>
      <c r="E44" s="27" t="str">
        <f t="shared" si="1"/>
        <v>Pasivo</v>
      </c>
      <c r="F44" s="24">
        <v>5</v>
      </c>
      <c r="G44" s="24">
        <v>3</v>
      </c>
      <c r="H44" s="17" t="s">
        <v>195</v>
      </c>
      <c r="I44" s="17" t="s">
        <v>182</v>
      </c>
      <c r="J44" s="17" t="s">
        <v>193</v>
      </c>
    </row>
    <row r="45" spans="1:10" ht="27.75" customHeight="1" x14ac:dyDescent="0.3">
      <c r="A45" s="24" t="s">
        <v>242</v>
      </c>
      <c r="B45" s="30">
        <v>46210</v>
      </c>
      <c r="C45" s="24" t="s">
        <v>132</v>
      </c>
      <c r="D45" s="24">
        <v>1</v>
      </c>
      <c r="E45" s="28" t="str">
        <f t="shared" si="1"/>
        <v>Detractor</v>
      </c>
      <c r="F45" s="24">
        <v>3</v>
      </c>
      <c r="G45" s="24">
        <v>2</v>
      </c>
      <c r="H45" s="17" t="s">
        <v>211</v>
      </c>
      <c r="I45" s="17" t="s">
        <v>115</v>
      </c>
      <c r="J45" s="17" t="s">
        <v>202</v>
      </c>
    </row>
    <row r="46" spans="1:10" ht="27.75" customHeight="1" x14ac:dyDescent="0.3">
      <c r="A46" s="24" t="s">
        <v>243</v>
      </c>
      <c r="B46" s="30">
        <v>46144</v>
      </c>
      <c r="C46" s="24" t="s">
        <v>185</v>
      </c>
      <c r="D46" s="24">
        <v>8</v>
      </c>
      <c r="E46" s="27" t="str">
        <f t="shared" si="1"/>
        <v>Pasivo</v>
      </c>
      <c r="F46" s="24">
        <v>3</v>
      </c>
      <c r="G46" s="24">
        <v>1</v>
      </c>
      <c r="H46" s="17" t="s">
        <v>195</v>
      </c>
      <c r="I46" s="17" t="s">
        <v>115</v>
      </c>
      <c r="J46" s="17" t="s">
        <v>208</v>
      </c>
    </row>
    <row r="47" spans="1:10" ht="27.75" customHeight="1" x14ac:dyDescent="0.3">
      <c r="A47" s="24" t="s">
        <v>244</v>
      </c>
      <c r="B47" s="30">
        <v>46212</v>
      </c>
      <c r="C47" s="24" t="s">
        <v>97</v>
      </c>
      <c r="D47" s="24">
        <v>9</v>
      </c>
      <c r="E47" s="26" t="str">
        <f t="shared" si="1"/>
        <v>Promotor</v>
      </c>
      <c r="F47" s="24">
        <v>3</v>
      </c>
      <c r="G47" s="24">
        <v>5</v>
      </c>
      <c r="H47" s="17" t="s">
        <v>211</v>
      </c>
      <c r="I47" s="17" t="s">
        <v>101</v>
      </c>
      <c r="J47" s="17" t="s">
        <v>196</v>
      </c>
    </row>
    <row r="48" spans="1:10" ht="27.75" customHeight="1" x14ac:dyDescent="0.3">
      <c r="A48" s="24" t="s">
        <v>245</v>
      </c>
      <c r="B48" s="30">
        <v>46149</v>
      </c>
      <c r="C48" s="24" t="s">
        <v>132</v>
      </c>
      <c r="D48" s="24">
        <v>10</v>
      </c>
      <c r="E48" s="26" t="str">
        <f t="shared" si="1"/>
        <v>Promotor</v>
      </c>
      <c r="F48" s="24">
        <v>5</v>
      </c>
      <c r="G48" s="24">
        <v>4</v>
      </c>
      <c r="H48" s="17" t="s">
        <v>200</v>
      </c>
      <c r="I48" s="17" t="s">
        <v>182</v>
      </c>
      <c r="J48" s="17" t="s">
        <v>183</v>
      </c>
    </row>
    <row r="49" spans="1:10" ht="27.75" customHeight="1" x14ac:dyDescent="0.3">
      <c r="A49" s="24" t="s">
        <v>246</v>
      </c>
      <c r="B49" s="30">
        <v>46191</v>
      </c>
      <c r="C49" s="24" t="s">
        <v>191</v>
      </c>
      <c r="D49" s="24">
        <v>7</v>
      </c>
      <c r="E49" s="27" t="str">
        <f t="shared" si="1"/>
        <v>Pasivo</v>
      </c>
      <c r="F49" s="24">
        <v>3</v>
      </c>
      <c r="G49" s="24">
        <v>1</v>
      </c>
      <c r="H49" s="17" t="s">
        <v>188</v>
      </c>
      <c r="I49" s="17" t="s">
        <v>115</v>
      </c>
      <c r="J49" s="17" t="s">
        <v>208</v>
      </c>
    </row>
    <row r="50" spans="1:10" ht="27.75" customHeight="1" x14ac:dyDescent="0.3">
      <c r="A50" s="24" t="s">
        <v>247</v>
      </c>
      <c r="B50" s="30">
        <v>46189</v>
      </c>
      <c r="C50" s="24" t="s">
        <v>191</v>
      </c>
      <c r="D50" s="24">
        <v>9</v>
      </c>
      <c r="E50" s="26" t="str">
        <f t="shared" si="1"/>
        <v>Promotor</v>
      </c>
      <c r="F50" s="24">
        <v>5</v>
      </c>
      <c r="G50" s="24">
        <v>5</v>
      </c>
      <c r="H50" s="17" t="s">
        <v>188</v>
      </c>
      <c r="I50" s="17" t="s">
        <v>101</v>
      </c>
      <c r="J50" s="17" t="s">
        <v>196</v>
      </c>
    </row>
    <row r="51" spans="1:10" ht="27.75" customHeight="1" x14ac:dyDescent="0.3">
      <c r="A51" s="24" t="s">
        <v>248</v>
      </c>
      <c r="B51" s="30">
        <v>46185</v>
      </c>
      <c r="C51" s="24" t="s">
        <v>97</v>
      </c>
      <c r="D51" s="24">
        <v>10</v>
      </c>
      <c r="E51" s="26" t="str">
        <f t="shared" si="1"/>
        <v>Promotor</v>
      </c>
      <c r="F51" s="24">
        <v>3</v>
      </c>
      <c r="G51" s="24">
        <v>4</v>
      </c>
      <c r="H51" s="17" t="s">
        <v>181</v>
      </c>
      <c r="I51" s="17" t="s">
        <v>101</v>
      </c>
      <c r="J51" s="17" t="s">
        <v>204</v>
      </c>
    </row>
    <row r="52" spans="1:10" ht="27.75" customHeight="1" x14ac:dyDescent="0.3">
      <c r="A52" s="24" t="s">
        <v>249</v>
      </c>
      <c r="B52" s="30">
        <v>46176</v>
      </c>
      <c r="C52" s="24" t="s">
        <v>185</v>
      </c>
      <c r="D52" s="24">
        <v>2</v>
      </c>
      <c r="E52" s="28" t="str">
        <f t="shared" si="1"/>
        <v>Detractor</v>
      </c>
      <c r="F52" s="24">
        <v>2</v>
      </c>
      <c r="G52" s="24">
        <v>3</v>
      </c>
      <c r="H52" s="17" t="s">
        <v>188</v>
      </c>
      <c r="I52" s="17" t="s">
        <v>115</v>
      </c>
      <c r="J52" s="17" t="s">
        <v>208</v>
      </c>
    </row>
    <row r="53" spans="1:10" ht="27.75" customHeight="1" x14ac:dyDescent="0.3">
      <c r="A53" s="24" t="s">
        <v>250</v>
      </c>
      <c r="B53" s="30">
        <v>46153</v>
      </c>
      <c r="C53" s="24" t="s">
        <v>132</v>
      </c>
      <c r="D53" s="24">
        <v>8</v>
      </c>
      <c r="E53" s="27" t="str">
        <f t="shared" si="1"/>
        <v>Pasivo</v>
      </c>
      <c r="F53" s="24">
        <v>5</v>
      </c>
      <c r="G53" s="24">
        <v>3</v>
      </c>
      <c r="H53" s="17" t="s">
        <v>211</v>
      </c>
      <c r="I53" s="17" t="s">
        <v>101</v>
      </c>
      <c r="J53" s="17" t="s">
        <v>204</v>
      </c>
    </row>
    <row r="54" spans="1:10" ht="27.75" customHeight="1" x14ac:dyDescent="0.3">
      <c r="A54" s="24" t="s">
        <v>251</v>
      </c>
      <c r="B54" s="30">
        <v>46148</v>
      </c>
      <c r="C54" s="24" t="s">
        <v>97</v>
      </c>
      <c r="D54" s="24">
        <v>10</v>
      </c>
      <c r="E54" s="26" t="str">
        <f t="shared" si="1"/>
        <v>Promotor</v>
      </c>
      <c r="F54" s="24">
        <v>3</v>
      </c>
      <c r="G54" s="24">
        <v>5</v>
      </c>
      <c r="H54" s="17" t="s">
        <v>211</v>
      </c>
      <c r="I54" s="17" t="s">
        <v>101</v>
      </c>
      <c r="J54" s="17" t="s">
        <v>204</v>
      </c>
    </row>
    <row r="55" spans="1:10" ht="27.75" customHeight="1" x14ac:dyDescent="0.3">
      <c r="A55" s="24" t="s">
        <v>252</v>
      </c>
      <c r="B55" s="30">
        <v>46148</v>
      </c>
      <c r="C55" s="24" t="s">
        <v>132</v>
      </c>
      <c r="D55" s="24">
        <v>9</v>
      </c>
      <c r="E55" s="26" t="str">
        <f t="shared" si="1"/>
        <v>Promotor</v>
      </c>
      <c r="F55" s="24">
        <v>4</v>
      </c>
      <c r="G55" s="24">
        <v>4</v>
      </c>
      <c r="H55" s="17" t="s">
        <v>188</v>
      </c>
      <c r="I55" s="17" t="s">
        <v>182</v>
      </c>
      <c r="J55" s="17" t="s">
        <v>235</v>
      </c>
    </row>
  </sheetData>
  <mergeCells count="3">
    <mergeCell ref="A1:J1"/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showGridLines="0" zoomScaleNormal="100" workbookViewId="0">
      <selection sqref="A1:F1"/>
    </sheetView>
  </sheetViews>
  <sheetFormatPr baseColWidth="10" defaultColWidth="8.6640625" defaultRowHeight="14.4" x14ac:dyDescent="0.3"/>
  <cols>
    <col min="1" max="1" width="44" customWidth="1"/>
    <col min="2" max="2" width="16" customWidth="1"/>
    <col min="3" max="3" width="32" customWidth="1"/>
    <col min="4" max="4" width="38" customWidth="1"/>
    <col min="5" max="5" width="18" customWidth="1"/>
    <col min="6" max="6" width="34" customWidth="1"/>
  </cols>
  <sheetData>
    <row r="1" spans="1:6" ht="25.5" customHeight="1" x14ac:dyDescent="0.3">
      <c r="A1" s="14" t="s">
        <v>253</v>
      </c>
      <c r="B1" s="14"/>
      <c r="C1" s="14"/>
      <c r="D1" s="14"/>
      <c r="E1" s="14"/>
      <c r="F1" s="14"/>
    </row>
    <row r="2" spans="1:6" ht="15.75" customHeight="1" x14ac:dyDescent="0.3">
      <c r="A2" s="13" t="s">
        <v>254</v>
      </c>
      <c r="B2" s="13"/>
      <c r="C2" s="13"/>
      <c r="D2" s="13"/>
      <c r="E2" s="13"/>
      <c r="F2" s="13"/>
    </row>
    <row r="3" spans="1:6" ht="15" customHeight="1" x14ac:dyDescent="0.3">
      <c r="A3" s="5" t="s">
        <v>255</v>
      </c>
      <c r="B3" s="5"/>
      <c r="C3" s="5"/>
      <c r="D3" s="5"/>
      <c r="E3" s="5"/>
      <c r="F3" s="5"/>
    </row>
    <row r="4" spans="1:6" ht="15.6" x14ac:dyDescent="0.3">
      <c r="A4" s="15" t="s">
        <v>256</v>
      </c>
    </row>
    <row r="6" spans="1:6" ht="27.6" x14ac:dyDescent="0.3">
      <c r="A6" s="16" t="s">
        <v>257</v>
      </c>
      <c r="B6" s="16" t="s">
        <v>258</v>
      </c>
      <c r="C6" s="16" t="s">
        <v>259</v>
      </c>
      <c r="D6" s="16" t="s">
        <v>260</v>
      </c>
    </row>
    <row r="7" spans="1:6" ht="78" customHeight="1" x14ac:dyDescent="0.3">
      <c r="A7" s="17" t="s">
        <v>261</v>
      </c>
      <c r="B7" s="31">
        <f>COUNTA('Reseñas y Encuesta'!H5:H17)</f>
        <v>13</v>
      </c>
      <c r="C7" s="22" t="s">
        <v>262</v>
      </c>
      <c r="D7" s="17" t="s">
        <v>263</v>
      </c>
    </row>
    <row r="8" spans="1:6" ht="78" customHeight="1" x14ac:dyDescent="0.3">
      <c r="A8" s="17" t="s">
        <v>264</v>
      </c>
      <c r="B8" s="32">
        <f>AVERAGE('Reseñas y Encuesta'!D5:D17)</f>
        <v>3.3636363636363638</v>
      </c>
      <c r="C8" s="22" t="s">
        <v>265</v>
      </c>
      <c r="D8" s="17" t="str">
        <f>IF(B8&gt;=4.5,"Excelente: la percepción general es muy positiva.",IF(B8&gt;=4,"Muy buena, aunque con margen de mejora.",IF(B8&gt;=3,"Regular: hay señales de insatisfacción relevantes.","Crítica: predominan las experiencias negativas."))) &amp; "  Resultado actual: " &amp; TEXT(B8,"0.0") &amp; "/5."</f>
        <v>Regular: hay señales de insatisfacción relevantes.  Resultado actual: 3.4/5.</v>
      </c>
    </row>
    <row r="9" spans="1:6" ht="78" customHeight="1" x14ac:dyDescent="0.3">
      <c r="A9" s="17" t="s">
        <v>266</v>
      </c>
      <c r="B9" s="33">
        <f>COUNTIF('Reseñas y Encuesta'!H5:H17,"Positivo")/COUNTA('Reseñas y Encuesta'!H5:H17)</f>
        <v>0.38461538461538464</v>
      </c>
      <c r="C9" s="22" t="s">
        <v>267</v>
      </c>
      <c r="D9" s="17" t="str">
        <f>IF(B9&gt;=0.6,"Alta: predominan las experiencias positivas.",IF(B9&gt;=0.4,"Moderada.","Baja: conviene reforzar la comunicación de los puntos fuertes.")) &amp; "  Resultado actual: " &amp; TEXT(B9,"0%")</f>
        <v>Baja: conviene reforzar la comunicación de los puntos fuertes.  Resultado actual: 38%</v>
      </c>
    </row>
    <row r="10" spans="1:6" ht="78" customHeight="1" x14ac:dyDescent="0.3">
      <c r="A10" s="17" t="s">
        <v>268</v>
      </c>
      <c r="B10" s="33">
        <f>COUNTIF('Reseñas y Encuesta'!H5:H17,"Negativo")/COUNTA('Reseñas y Encuesta'!H5:H17)</f>
        <v>0.38461538461538464</v>
      </c>
      <c r="C10" s="22" t="s">
        <v>269</v>
      </c>
      <c r="D10" s="17" t="str">
        <f>IF(B10&gt;=0.5,"Alta: más de la mitad de la muestra es negativa (recordar que son reseñas construidas para ilustrar cada hallazgo, no una muestra real).",IF(B10&gt;=0.25,"Moderada: hay puntos de fricción a atender.","Baja.")) &amp; "  Resultado actual: " &amp; TEXT(B10,"0%")</f>
        <v>Moderada: hay puntos de fricción a atender.  Resultado actual: 38%</v>
      </c>
    </row>
    <row r="11" spans="1:6" ht="78" customHeight="1" x14ac:dyDescent="0.3">
      <c r="A11" s="17" t="s">
        <v>270</v>
      </c>
      <c r="B11" s="33">
        <f>COUNTIF('Reseñas y Encuesta'!H5:H17,"Mixto")/COUNTA('Reseñas y Encuesta'!H5:H17)</f>
        <v>0.23076923076923078</v>
      </c>
      <c r="C11" s="22" t="s">
        <v>271</v>
      </c>
      <c r="D11" s="17" t="str">
        <f>IF(B11&gt;=0.2,"Relevante: conviene revisar qué puntos de contacto generan esa ambivalencia.","Poco relevante.") &amp; "  Resultado actual: " &amp; TEXT(B11,"0%")</f>
        <v>Relevante: conviene revisar qué puntos de contacto generan esa ambivalencia.  Resultado actual: 23%</v>
      </c>
    </row>
    <row r="13" spans="1:6" x14ac:dyDescent="0.3">
      <c r="A13" s="18" t="s">
        <v>272</v>
      </c>
    </row>
    <row r="14" spans="1:6" ht="27.6" x14ac:dyDescent="0.3">
      <c r="A14" s="16" t="s">
        <v>273</v>
      </c>
      <c r="B14" s="16" t="s">
        <v>274</v>
      </c>
      <c r="C14" s="16" t="s">
        <v>275</v>
      </c>
      <c r="D14" s="16" t="s">
        <v>276</v>
      </c>
      <c r="E14" s="16" t="s">
        <v>277</v>
      </c>
      <c r="F14" s="16" t="s">
        <v>278</v>
      </c>
    </row>
    <row r="15" spans="1:6" ht="60" customHeight="1" x14ac:dyDescent="0.3">
      <c r="A15" s="17" t="s">
        <v>101</v>
      </c>
      <c r="B15" s="24">
        <f>COUNTIF('Reseñas y Encuesta'!G5:G17,A15)</f>
        <v>5</v>
      </c>
      <c r="C15" s="24">
        <f>COUNTIF('Respuestas Encuesta'!I6:I55,A15)</f>
        <v>18</v>
      </c>
      <c r="D15" s="31">
        <f>B15+C15</f>
        <v>23</v>
      </c>
      <c r="E15" s="34">
        <f>D15/63</f>
        <v>0.36507936507936506</v>
      </c>
      <c r="F15" s="22" t="s">
        <v>279</v>
      </c>
    </row>
    <row r="16" spans="1:6" ht="60" customHeight="1" x14ac:dyDescent="0.3">
      <c r="A16" s="17" t="s">
        <v>115</v>
      </c>
      <c r="B16" s="24">
        <f>COUNTIF('Reseñas y Encuesta'!G5:G17,A16)</f>
        <v>2</v>
      </c>
      <c r="C16" s="24">
        <f>COUNTIF('Respuestas Encuesta'!I6:I55,A16)</f>
        <v>11</v>
      </c>
      <c r="D16" s="31">
        <f>B16+C16</f>
        <v>13</v>
      </c>
      <c r="E16" s="34">
        <f>D16/63</f>
        <v>0.20634920634920634</v>
      </c>
      <c r="F16" s="22" t="s">
        <v>280</v>
      </c>
    </row>
    <row r="17" spans="1:6" ht="60" customHeight="1" x14ac:dyDescent="0.3">
      <c r="A17" s="17" t="s">
        <v>124</v>
      </c>
      <c r="B17" s="24">
        <f>COUNTIF('Reseñas y Encuesta'!G5:G17,A17)</f>
        <v>2</v>
      </c>
      <c r="C17" s="24">
        <f>COUNTIF('Respuestas Encuesta'!I6:I55,A17)</f>
        <v>3</v>
      </c>
      <c r="D17" s="31">
        <f>B17+C17</f>
        <v>5</v>
      </c>
      <c r="E17" s="34">
        <f>D17/63</f>
        <v>7.9365079365079361E-2</v>
      </c>
      <c r="F17" s="22" t="s">
        <v>281</v>
      </c>
    </row>
    <row r="18" spans="1:6" ht="60" customHeight="1" x14ac:dyDescent="0.3">
      <c r="A18" s="17" t="s">
        <v>131</v>
      </c>
      <c r="B18" s="24">
        <f>COUNTIF('Reseñas y Encuesta'!G5:G17,A18)</f>
        <v>2</v>
      </c>
      <c r="C18" s="24">
        <f>COUNTIF('Respuestas Encuesta'!I6:I55,A18)</f>
        <v>1</v>
      </c>
      <c r="D18" s="31">
        <f>B18+C18</f>
        <v>3</v>
      </c>
      <c r="E18" s="34">
        <f>D18/63</f>
        <v>4.7619047619047616E-2</v>
      </c>
      <c r="F18" s="22" t="s">
        <v>282</v>
      </c>
    </row>
    <row r="19" spans="1:6" ht="60" customHeight="1" x14ac:dyDescent="0.3">
      <c r="A19" s="17" t="s">
        <v>138</v>
      </c>
      <c r="B19" s="24">
        <f>COUNTIF('Reseñas y Encuesta'!G5:G17,A19)</f>
        <v>2</v>
      </c>
      <c r="C19" s="24">
        <f>COUNTIF('Respuestas Encuesta'!I6:I55,A19)</f>
        <v>3</v>
      </c>
      <c r="D19" s="31">
        <f>B19+C19</f>
        <v>5</v>
      </c>
      <c r="E19" s="34">
        <f>D19/63</f>
        <v>7.9365079365079361E-2</v>
      </c>
      <c r="F19" s="22" t="s">
        <v>283</v>
      </c>
    </row>
    <row r="22" spans="1:6" ht="15.6" x14ac:dyDescent="0.3">
      <c r="A22" s="15" t="s">
        <v>284</v>
      </c>
    </row>
    <row r="23" spans="1:6" ht="30" customHeight="1" x14ac:dyDescent="0.3">
      <c r="A23" s="11" t="s">
        <v>285</v>
      </c>
      <c r="B23" s="11"/>
      <c r="C23" s="11"/>
      <c r="D23" s="11"/>
      <c r="E23" s="11"/>
      <c r="F23" s="11"/>
    </row>
    <row r="25" spans="1:6" ht="27.6" x14ac:dyDescent="0.3">
      <c r="A25" s="16" t="s">
        <v>286</v>
      </c>
      <c r="B25" s="16" t="s">
        <v>287</v>
      </c>
      <c r="C25" s="16" t="s">
        <v>288</v>
      </c>
      <c r="D25" s="16" t="s">
        <v>289</v>
      </c>
    </row>
    <row r="26" spans="1:6" ht="49.5" customHeight="1" x14ac:dyDescent="0.3">
      <c r="A26" s="17" t="s">
        <v>290</v>
      </c>
      <c r="B26" s="24">
        <f>COUNTIF('Respuestas Encuesta'!E6:E55,"Promotor")</f>
        <v>25</v>
      </c>
      <c r="C26" s="34">
        <f>IFERROR(B26/SUM($B$26:$B$28),0)</f>
        <v>0.5</v>
      </c>
      <c r="D26" s="22" t="s">
        <v>291</v>
      </c>
    </row>
    <row r="27" spans="1:6" ht="49.5" customHeight="1" x14ac:dyDescent="0.3">
      <c r="A27" s="17" t="s">
        <v>292</v>
      </c>
      <c r="B27" s="24">
        <f>COUNTIF('Respuestas Encuesta'!E6:E55,"Pasivo")</f>
        <v>15</v>
      </c>
      <c r="C27" s="34">
        <f>IFERROR(B27/SUM($B$26:$B$28),0)</f>
        <v>0.3</v>
      </c>
      <c r="D27" s="22" t="s">
        <v>293</v>
      </c>
    </row>
    <row r="28" spans="1:6" ht="49.5" customHeight="1" x14ac:dyDescent="0.3">
      <c r="A28" s="17" t="s">
        <v>294</v>
      </c>
      <c r="B28" s="24">
        <f>COUNTIF('Respuestas Encuesta'!E6:E55,"Detractor")</f>
        <v>10</v>
      </c>
      <c r="C28" s="34">
        <f>IFERROR(B28/SUM($B$26:$B$28),0)</f>
        <v>0.2</v>
      </c>
      <c r="D28" s="22" t="s">
        <v>295</v>
      </c>
    </row>
    <row r="29" spans="1:6" ht="22.35" customHeight="1" x14ac:dyDescent="0.3">
      <c r="A29" s="35" t="s">
        <v>296</v>
      </c>
      <c r="B29" s="31">
        <f>SUM(B26:B28)</f>
        <v>50</v>
      </c>
      <c r="C29" s="36"/>
      <c r="D29" s="4" t="s">
        <v>297</v>
      </c>
      <c r="E29" s="4"/>
      <c r="F29" s="4"/>
    </row>
    <row r="31" spans="1:6" ht="54.75" customHeight="1" x14ac:dyDescent="0.3">
      <c r="A31" s="35" t="s">
        <v>298</v>
      </c>
      <c r="B31" s="37">
        <f>IF(B29=0,"Cargar datos",(B26-B28)/B29)</f>
        <v>0.3</v>
      </c>
      <c r="C31" s="3" t="str">
        <f>IF(ISNUMBER(B31),IF(B31&gt;=0.7,"Excelente (nivel de clase mundial).",IF(B31&gt;=0.3,"Muy bueno.",IF(B31&gt;=0,"Aceptable, con oportunidades de mejora.","Crítico: predominan los detractores."))) &amp; "  Resultado actual: " &amp; TEXT(B31,"0%") &amp; "  |  Escala de referencia: menor a 0% necesita mejorar · 0%-30% bueno · 30%-70% muy bueno · mayor a 70% excelente.","Cargar los datos de la encuesta para calcular el NPS.")</f>
        <v>Muy bueno.  Resultado actual: 30%  |  Escala de referencia: menor a 0% necesita mejorar · 0%-30% bueno · 30%-70% muy bueno · mayor a 70% excelente.</v>
      </c>
      <c r="D31" s="3"/>
      <c r="E31" s="3"/>
      <c r="F31" s="3"/>
    </row>
    <row r="33" spans="1:6" ht="15.6" x14ac:dyDescent="0.3">
      <c r="A33" s="15" t="s">
        <v>299</v>
      </c>
    </row>
    <row r="34" spans="1:6" ht="30" customHeight="1" x14ac:dyDescent="0.3">
      <c r="A34" s="11" t="s">
        <v>300</v>
      </c>
      <c r="B34" s="11"/>
      <c r="C34" s="11"/>
      <c r="D34" s="11"/>
      <c r="E34" s="11"/>
      <c r="F34" s="11"/>
    </row>
    <row r="36" spans="1:6" ht="27.6" x14ac:dyDescent="0.3">
      <c r="A36" s="16" t="s">
        <v>301</v>
      </c>
      <c r="B36" s="16" t="s">
        <v>287</v>
      </c>
    </row>
    <row r="37" spans="1:6" x14ac:dyDescent="0.3">
      <c r="A37" s="24">
        <v>5</v>
      </c>
      <c r="B37" s="24">
        <f>COUNTIF('Respuestas Encuesta'!F6:F55,A37)</f>
        <v>17</v>
      </c>
    </row>
    <row r="38" spans="1:6" x14ac:dyDescent="0.3">
      <c r="A38" s="24">
        <v>4</v>
      </c>
      <c r="B38" s="24">
        <f>COUNTIF('Respuestas Encuesta'!F6:F55,A38)</f>
        <v>13</v>
      </c>
    </row>
    <row r="39" spans="1:6" x14ac:dyDescent="0.3">
      <c r="A39" s="24">
        <v>3</v>
      </c>
      <c r="B39" s="24">
        <f>COUNTIF('Respuestas Encuesta'!F6:F55,A39)</f>
        <v>13</v>
      </c>
    </row>
    <row r="40" spans="1:6" x14ac:dyDescent="0.3">
      <c r="A40" s="24">
        <v>2</v>
      </c>
      <c r="B40" s="24">
        <f>COUNTIF('Respuestas Encuesta'!F6:F55,A40)</f>
        <v>5</v>
      </c>
    </row>
    <row r="41" spans="1:6" x14ac:dyDescent="0.3">
      <c r="A41" s="24">
        <v>1</v>
      </c>
      <c r="B41" s="24">
        <f>COUNTIF('Respuestas Encuesta'!F6:F55,A41)</f>
        <v>2</v>
      </c>
    </row>
    <row r="42" spans="1:6" ht="54.75" customHeight="1" x14ac:dyDescent="0.3">
      <c r="A42" s="35" t="s">
        <v>302</v>
      </c>
      <c r="B42" s="37">
        <f>IF(SUM(B37:B41)=0,"Cargar datos",(B37+B38)/SUM(B37:B41))</f>
        <v>0.6</v>
      </c>
      <c r="C42" s="3" t="str">
        <f>IF(ISNUMBER(B42),IF(B42&gt;=0.8,"Alto: en línea o por encima del benchmark habitual de 80% en gastronomía/cafeterías.",IF(B42&gt;=0.6,"Aceptable, aunque por debajo del benchmark habitual de 80%.","Bajo: conviene priorizar acciones correctivas.")) &amp; "  Resultado actual: " &amp; TEXT(B42,"0%"),"Cargar los datos de la encuesta para calcular el CSAT.")</f>
        <v>Aceptable, aunque por debajo del benchmark habitual de 80%.  Resultado actual: 60%</v>
      </c>
      <c r="D42" s="3"/>
      <c r="E42" s="3"/>
      <c r="F42" s="3"/>
    </row>
  </sheetData>
  <mergeCells count="8">
    <mergeCell ref="C31:F31"/>
    <mergeCell ref="A34:F34"/>
    <mergeCell ref="C42:F42"/>
    <mergeCell ref="A1:F1"/>
    <mergeCell ref="A2:F2"/>
    <mergeCell ref="A3:F3"/>
    <mergeCell ref="A23:F23"/>
    <mergeCell ref="D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showGridLines="0" zoomScaleNormal="100" workbookViewId="0">
      <pane xSplit="1" ySplit="6" topLeftCell="B15" activePane="bottomRight" state="frozen"/>
      <selection pane="topRight" activeCell="B1" sqref="B1"/>
      <selection pane="bottomLeft" activeCell="A7" sqref="A7"/>
      <selection pane="bottomRight" activeCell="C7" sqref="C7"/>
    </sheetView>
  </sheetViews>
  <sheetFormatPr baseColWidth="10" defaultColWidth="8.6640625" defaultRowHeight="14.4" x14ac:dyDescent="0.3"/>
  <cols>
    <col min="1" max="1" width="22" customWidth="1"/>
    <col min="2" max="11" width="26" customWidth="1"/>
  </cols>
  <sheetData>
    <row r="1" spans="1:11" ht="25.5" customHeight="1" x14ac:dyDescent="0.3">
      <c r="A1" s="14" t="s">
        <v>303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3">
      <c r="A2" s="13" t="s">
        <v>304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30" customHeight="1" x14ac:dyDescent="0.3">
      <c r="A4" s="38" t="s">
        <v>305</v>
      </c>
      <c r="B4" s="2" t="s">
        <v>306</v>
      </c>
      <c r="C4" s="2"/>
      <c r="D4" s="1" t="s">
        <v>307</v>
      </c>
      <c r="E4" s="1"/>
      <c r="F4" s="51" t="s">
        <v>308</v>
      </c>
      <c r="G4" s="51"/>
      <c r="H4" s="52" t="s">
        <v>309</v>
      </c>
      <c r="I4" s="52"/>
      <c r="J4" s="53" t="s">
        <v>310</v>
      </c>
      <c r="K4" s="53"/>
    </row>
    <row r="5" spans="1:11" ht="39.75" customHeight="1" x14ac:dyDescent="0.3">
      <c r="A5" s="38" t="s">
        <v>311</v>
      </c>
      <c r="B5" s="39" t="s">
        <v>312</v>
      </c>
      <c r="C5" s="39" t="s">
        <v>313</v>
      </c>
      <c r="D5" s="40" t="s">
        <v>314</v>
      </c>
      <c r="E5" s="40" t="s">
        <v>315</v>
      </c>
      <c r="F5" s="41" t="s">
        <v>316</v>
      </c>
      <c r="G5" s="41" t="s">
        <v>317</v>
      </c>
      <c r="H5" s="42" t="s">
        <v>318</v>
      </c>
      <c r="I5" s="42" t="s">
        <v>319</v>
      </c>
      <c r="J5" s="43" t="s">
        <v>320</v>
      </c>
      <c r="K5" s="43" t="s">
        <v>321</v>
      </c>
    </row>
    <row r="6" spans="1:11" ht="54.75" customHeight="1" x14ac:dyDescent="0.3">
      <c r="A6" s="44" t="s">
        <v>322</v>
      </c>
      <c r="B6" s="54" t="s">
        <v>323</v>
      </c>
      <c r="C6" s="54"/>
      <c r="D6" s="54" t="s">
        <v>324</v>
      </c>
      <c r="E6" s="54"/>
      <c r="F6" s="54" t="s">
        <v>325</v>
      </c>
      <c r="G6" s="54"/>
      <c r="H6" s="54" t="s">
        <v>326</v>
      </c>
      <c r="I6" s="54"/>
      <c r="J6" s="54" t="s">
        <v>327</v>
      </c>
      <c r="K6" s="54"/>
    </row>
    <row r="7" spans="1:11" ht="94.5" customHeight="1" x14ac:dyDescent="0.3">
      <c r="A7" s="44" t="s">
        <v>328</v>
      </c>
      <c r="B7" s="17" t="s">
        <v>329</v>
      </c>
      <c r="C7" s="17" t="s">
        <v>330</v>
      </c>
      <c r="D7" s="17" t="s">
        <v>331</v>
      </c>
      <c r="E7" s="17" t="s">
        <v>332</v>
      </c>
      <c r="F7" s="17" t="s">
        <v>333</v>
      </c>
      <c r="G7" s="17" t="s">
        <v>334</v>
      </c>
      <c r="H7" s="17" t="s">
        <v>335</v>
      </c>
      <c r="I7" s="17" t="s">
        <v>336</v>
      </c>
      <c r="J7" s="17" t="s">
        <v>337</v>
      </c>
      <c r="K7" s="17" t="s">
        <v>338</v>
      </c>
    </row>
    <row r="8" spans="1:11" ht="94.5" customHeight="1" x14ac:dyDescent="0.3">
      <c r="A8" s="44" t="s">
        <v>339</v>
      </c>
      <c r="B8" s="17" t="s">
        <v>340</v>
      </c>
      <c r="C8" s="17" t="s">
        <v>341</v>
      </c>
      <c r="D8" s="17" t="s">
        <v>342</v>
      </c>
      <c r="E8" s="17" t="s">
        <v>343</v>
      </c>
      <c r="F8" s="17" t="s">
        <v>344</v>
      </c>
      <c r="G8" s="17" t="s">
        <v>345</v>
      </c>
      <c r="H8" s="17" t="s">
        <v>346</v>
      </c>
      <c r="I8" s="17" t="s">
        <v>347</v>
      </c>
      <c r="J8" s="17" t="s">
        <v>348</v>
      </c>
      <c r="K8" s="17" t="s">
        <v>349</v>
      </c>
    </row>
    <row r="9" spans="1:11" ht="94.5" customHeight="1" x14ac:dyDescent="0.3">
      <c r="A9" s="44" t="s">
        <v>350</v>
      </c>
      <c r="B9" s="17" t="s">
        <v>351</v>
      </c>
      <c r="C9" s="17" t="s">
        <v>352</v>
      </c>
      <c r="D9" s="17" t="s">
        <v>353</v>
      </c>
      <c r="E9" s="17" t="s">
        <v>354</v>
      </c>
      <c r="F9" s="17" t="s">
        <v>355</v>
      </c>
      <c r="G9" s="17" t="s">
        <v>356</v>
      </c>
      <c r="H9" s="17" t="s">
        <v>357</v>
      </c>
      <c r="I9" s="17" t="s">
        <v>358</v>
      </c>
      <c r="J9" s="17" t="s">
        <v>359</v>
      </c>
      <c r="K9" s="17" t="s">
        <v>360</v>
      </c>
    </row>
    <row r="10" spans="1:11" ht="94.5" customHeight="1" x14ac:dyDescent="0.3">
      <c r="A10" s="44" t="s">
        <v>361</v>
      </c>
      <c r="B10" s="45" t="s">
        <v>362</v>
      </c>
      <c r="C10" s="45" t="s">
        <v>363</v>
      </c>
      <c r="D10" s="45" t="s">
        <v>364</v>
      </c>
      <c r="E10" s="45" t="s">
        <v>365</v>
      </c>
      <c r="F10" s="45" t="s">
        <v>366</v>
      </c>
      <c r="G10" s="45" t="s">
        <v>367</v>
      </c>
      <c r="H10" s="45" t="s">
        <v>368</v>
      </c>
      <c r="I10" s="45" t="s">
        <v>369</v>
      </c>
      <c r="J10" s="45" t="s">
        <v>370</v>
      </c>
      <c r="K10" s="45" t="s">
        <v>371</v>
      </c>
    </row>
    <row r="11" spans="1:11" ht="94.5" customHeight="1" x14ac:dyDescent="0.3">
      <c r="A11" s="44" t="s">
        <v>372</v>
      </c>
      <c r="B11" s="46" t="s">
        <v>373</v>
      </c>
      <c r="C11" s="46" t="s">
        <v>374</v>
      </c>
      <c r="D11" s="46" t="s">
        <v>375</v>
      </c>
      <c r="E11" s="46" t="s">
        <v>376</v>
      </c>
      <c r="F11" s="46" t="s">
        <v>377</v>
      </c>
      <c r="G11" s="46" t="s">
        <v>378</v>
      </c>
      <c r="H11" s="46" t="s">
        <v>379</v>
      </c>
      <c r="I11" s="46" t="s">
        <v>380</v>
      </c>
      <c r="J11" s="46" t="s">
        <v>381</v>
      </c>
      <c r="K11" s="46" t="s">
        <v>382</v>
      </c>
    </row>
    <row r="12" spans="1:11" ht="94.5" customHeight="1" x14ac:dyDescent="0.3">
      <c r="A12" s="44" t="s">
        <v>383</v>
      </c>
      <c r="B12" s="22" t="s">
        <v>384</v>
      </c>
      <c r="C12" s="22" t="s">
        <v>385</v>
      </c>
      <c r="D12" s="22" t="s">
        <v>386</v>
      </c>
      <c r="E12" s="22" t="s">
        <v>387</v>
      </c>
      <c r="F12" s="22" t="s">
        <v>388</v>
      </c>
      <c r="G12" s="22" t="s">
        <v>389</v>
      </c>
      <c r="H12" s="22" t="s">
        <v>385</v>
      </c>
      <c r="I12" s="22" t="s">
        <v>390</v>
      </c>
      <c r="J12" s="22" t="s">
        <v>391</v>
      </c>
      <c r="K12" s="22" t="s">
        <v>392</v>
      </c>
    </row>
  </sheetData>
  <mergeCells count="12">
    <mergeCell ref="B6:C6"/>
    <mergeCell ref="D6:E6"/>
    <mergeCell ref="F6:G6"/>
    <mergeCell ref="H6:I6"/>
    <mergeCell ref="J6:K6"/>
    <mergeCell ref="A1:K1"/>
    <mergeCell ref="A2:K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"/>
  <sheetViews>
    <sheetView showGridLines="0" zoomScaleNormal="100" workbookViewId="0">
      <pane xSplit="1" ySplit="6" topLeftCell="B12" activePane="bottomRight" state="frozen"/>
      <selection pane="topRight" activeCell="B1" sqref="B1"/>
      <selection pane="bottomLeft" activeCell="A7" sqref="A7"/>
      <selection pane="bottomRight" sqref="A1:K1"/>
    </sheetView>
  </sheetViews>
  <sheetFormatPr baseColWidth="10" defaultColWidth="8.6640625" defaultRowHeight="14.4" x14ac:dyDescent="0.3"/>
  <cols>
    <col min="1" max="1" width="22" customWidth="1"/>
    <col min="2" max="11" width="26" customWidth="1"/>
  </cols>
  <sheetData>
    <row r="1" spans="1:11" ht="25.5" customHeight="1" x14ac:dyDescent="0.3">
      <c r="A1" s="14" t="s">
        <v>393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3">
      <c r="A2" s="13" t="s">
        <v>394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30" customHeight="1" x14ac:dyDescent="0.3">
      <c r="A4" s="38" t="s">
        <v>305</v>
      </c>
      <c r="B4" s="2" t="s">
        <v>306</v>
      </c>
      <c r="C4" s="2"/>
      <c r="D4" s="1" t="s">
        <v>307</v>
      </c>
      <c r="E4" s="1"/>
      <c r="F4" s="51" t="s">
        <v>308</v>
      </c>
      <c r="G4" s="51"/>
      <c r="H4" s="52" t="s">
        <v>309</v>
      </c>
      <c r="I4" s="52"/>
      <c r="J4" s="53" t="s">
        <v>310</v>
      </c>
      <c r="K4" s="53"/>
    </row>
    <row r="5" spans="1:11" ht="39.75" customHeight="1" x14ac:dyDescent="0.3">
      <c r="A5" s="38" t="s">
        <v>311</v>
      </c>
      <c r="B5" s="39" t="s">
        <v>312</v>
      </c>
      <c r="C5" s="39" t="s">
        <v>313</v>
      </c>
      <c r="D5" s="40" t="s">
        <v>314</v>
      </c>
      <c r="E5" s="40" t="s">
        <v>315</v>
      </c>
      <c r="F5" s="41" t="s">
        <v>316</v>
      </c>
      <c r="G5" s="41" t="s">
        <v>317</v>
      </c>
      <c r="H5" s="42" t="s">
        <v>318</v>
      </c>
      <c r="I5" s="42" t="s">
        <v>319</v>
      </c>
      <c r="J5" s="43" t="s">
        <v>320</v>
      </c>
      <c r="K5" s="43" t="s">
        <v>321</v>
      </c>
    </row>
    <row r="6" spans="1:11" ht="54.75" customHeight="1" x14ac:dyDescent="0.3">
      <c r="A6" s="44" t="s">
        <v>322</v>
      </c>
      <c r="B6" s="54" t="s">
        <v>395</v>
      </c>
      <c r="C6" s="54"/>
      <c r="D6" s="54" t="s">
        <v>396</v>
      </c>
      <c r="E6" s="54"/>
      <c r="F6" s="54" t="s">
        <v>397</v>
      </c>
      <c r="G6" s="54"/>
      <c r="H6" s="54" t="s">
        <v>398</v>
      </c>
      <c r="I6" s="54"/>
      <c r="J6" s="54" t="s">
        <v>399</v>
      </c>
      <c r="K6" s="54"/>
    </row>
    <row r="7" spans="1:11" ht="94.5" customHeight="1" x14ac:dyDescent="0.3">
      <c r="A7" s="44" t="s">
        <v>400</v>
      </c>
      <c r="B7" s="17" t="s">
        <v>401</v>
      </c>
      <c r="C7" s="17" t="s">
        <v>402</v>
      </c>
      <c r="D7" s="17" t="s">
        <v>403</v>
      </c>
      <c r="E7" s="17" t="s">
        <v>404</v>
      </c>
      <c r="F7" s="17" t="s">
        <v>405</v>
      </c>
      <c r="G7" s="17" t="s">
        <v>406</v>
      </c>
      <c r="H7" s="17" t="s">
        <v>407</v>
      </c>
      <c r="I7" s="17" t="s">
        <v>408</v>
      </c>
      <c r="J7" s="17" t="s">
        <v>409</v>
      </c>
      <c r="K7" s="17" t="s">
        <v>410</v>
      </c>
    </row>
    <row r="8" spans="1:11" ht="94.5" customHeight="1" x14ac:dyDescent="0.3">
      <c r="A8" s="44" t="s">
        <v>339</v>
      </c>
      <c r="B8" s="17" t="s">
        <v>411</v>
      </c>
      <c r="C8" s="17" t="s">
        <v>412</v>
      </c>
      <c r="D8" s="17" t="s">
        <v>413</v>
      </c>
      <c r="E8" s="17" t="s">
        <v>414</v>
      </c>
      <c r="F8" s="17" t="s">
        <v>415</v>
      </c>
      <c r="G8" s="17" t="s">
        <v>416</v>
      </c>
      <c r="H8" s="17" t="s">
        <v>417</v>
      </c>
      <c r="I8" s="17" t="s">
        <v>418</v>
      </c>
      <c r="J8" s="17" t="s">
        <v>419</v>
      </c>
      <c r="K8" s="17" t="s">
        <v>420</v>
      </c>
    </row>
    <row r="9" spans="1:11" ht="94.5" customHeight="1" x14ac:dyDescent="0.3">
      <c r="A9" s="44" t="s">
        <v>421</v>
      </c>
      <c r="B9" s="17" t="s">
        <v>422</v>
      </c>
      <c r="C9" s="17" t="s">
        <v>423</v>
      </c>
      <c r="D9" s="17" t="s">
        <v>424</v>
      </c>
      <c r="E9" s="17" t="s">
        <v>425</v>
      </c>
      <c r="F9" s="17" t="s">
        <v>426</v>
      </c>
      <c r="G9" s="17" t="s">
        <v>427</v>
      </c>
      <c r="H9" s="17" t="s">
        <v>428</v>
      </c>
      <c r="I9" s="17" t="s">
        <v>429</v>
      </c>
      <c r="J9" s="17" t="s">
        <v>430</v>
      </c>
      <c r="K9" s="17" t="s">
        <v>431</v>
      </c>
    </row>
    <row r="10" spans="1:11" ht="94.5" customHeight="1" x14ac:dyDescent="0.3">
      <c r="A10" s="44" t="s">
        <v>432</v>
      </c>
      <c r="B10" s="46" t="s">
        <v>433</v>
      </c>
      <c r="C10" s="46" t="s">
        <v>434</v>
      </c>
      <c r="D10" s="46" t="s">
        <v>435</v>
      </c>
      <c r="E10" s="46" t="s">
        <v>436</v>
      </c>
      <c r="F10" s="46" t="s">
        <v>437</v>
      </c>
      <c r="G10" s="46" t="s">
        <v>438</v>
      </c>
      <c r="H10" s="46" t="s">
        <v>439</v>
      </c>
      <c r="I10" s="46" t="s">
        <v>440</v>
      </c>
      <c r="J10" s="46" t="s">
        <v>441</v>
      </c>
      <c r="K10" s="46" t="s">
        <v>442</v>
      </c>
    </row>
    <row r="11" spans="1:11" ht="94.5" customHeight="1" x14ac:dyDescent="0.3">
      <c r="A11" s="44" t="s">
        <v>443</v>
      </c>
      <c r="B11" s="47" t="s">
        <v>444</v>
      </c>
      <c r="C11" s="47" t="s">
        <v>445</v>
      </c>
      <c r="D11" s="47" t="s">
        <v>446</v>
      </c>
      <c r="E11" s="47" t="s">
        <v>447</v>
      </c>
      <c r="F11" s="47" t="s">
        <v>448</v>
      </c>
      <c r="G11" s="47" t="s">
        <v>449</v>
      </c>
      <c r="H11" s="47" t="s">
        <v>450</v>
      </c>
      <c r="I11" s="47" t="s">
        <v>451</v>
      </c>
      <c r="J11" s="47" t="s">
        <v>452</v>
      </c>
      <c r="K11" s="47" t="s">
        <v>453</v>
      </c>
    </row>
    <row r="12" spans="1:11" ht="94.5" customHeight="1" x14ac:dyDescent="0.3">
      <c r="A12" s="44" t="s">
        <v>454</v>
      </c>
      <c r="B12" s="22" t="s">
        <v>455</v>
      </c>
      <c r="C12" s="22" t="s">
        <v>456</v>
      </c>
      <c r="D12" s="22" t="s">
        <v>457</v>
      </c>
      <c r="E12" s="22" t="s">
        <v>458</v>
      </c>
      <c r="F12" s="22" t="s">
        <v>459</v>
      </c>
      <c r="G12" s="22" t="s">
        <v>460</v>
      </c>
      <c r="H12" s="22" t="s">
        <v>461</v>
      </c>
      <c r="I12" s="22" t="s">
        <v>462</v>
      </c>
      <c r="J12" s="22" t="s">
        <v>463</v>
      </c>
      <c r="K12" s="22" t="s">
        <v>464</v>
      </c>
    </row>
  </sheetData>
  <mergeCells count="12">
    <mergeCell ref="B6:C6"/>
    <mergeCell ref="D6:E6"/>
    <mergeCell ref="F6:G6"/>
    <mergeCell ref="H6:I6"/>
    <mergeCell ref="J6:K6"/>
    <mergeCell ref="A1:K1"/>
    <mergeCell ref="A2:K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showGridLines="0" zoomScaleNormal="100" workbookViewId="0">
      <pane xSplit="1" ySplit="5" topLeftCell="B11" activePane="bottomRight" state="frozen"/>
      <selection pane="topRight" activeCell="B1" sqref="B1"/>
      <selection pane="bottomLeft" activeCell="A6" sqref="A6"/>
      <selection pane="bottomRight" sqref="A1:K1"/>
    </sheetView>
  </sheetViews>
  <sheetFormatPr baseColWidth="10" defaultColWidth="8.6640625" defaultRowHeight="14.4" x14ac:dyDescent="0.3"/>
  <cols>
    <col min="1" max="1" width="22" customWidth="1"/>
    <col min="2" max="11" width="26" customWidth="1"/>
  </cols>
  <sheetData>
    <row r="1" spans="1:11" ht="25.5" customHeight="1" x14ac:dyDescent="0.3">
      <c r="A1" s="14" t="s">
        <v>465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3">
      <c r="A2" s="13" t="s">
        <v>466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30" customHeight="1" x14ac:dyDescent="0.3">
      <c r="A4" s="38" t="s">
        <v>305</v>
      </c>
      <c r="B4" s="2" t="s">
        <v>306</v>
      </c>
      <c r="C4" s="2"/>
      <c r="D4" s="1" t="s">
        <v>307</v>
      </c>
      <c r="E4" s="1"/>
      <c r="F4" s="51" t="s">
        <v>308</v>
      </c>
      <c r="G4" s="51"/>
      <c r="H4" s="52" t="s">
        <v>309</v>
      </c>
      <c r="I4" s="52"/>
      <c r="J4" s="53" t="s">
        <v>310</v>
      </c>
      <c r="K4" s="53"/>
    </row>
    <row r="5" spans="1:11" ht="39.75" customHeight="1" x14ac:dyDescent="0.3">
      <c r="A5" s="38" t="s">
        <v>311</v>
      </c>
      <c r="B5" s="39" t="s">
        <v>312</v>
      </c>
      <c r="C5" s="39" t="s">
        <v>313</v>
      </c>
      <c r="D5" s="40" t="s">
        <v>314</v>
      </c>
      <c r="E5" s="40" t="s">
        <v>315</v>
      </c>
      <c r="F5" s="41" t="s">
        <v>316</v>
      </c>
      <c r="G5" s="41" t="s">
        <v>317</v>
      </c>
      <c r="H5" s="42" t="s">
        <v>318</v>
      </c>
      <c r="I5" s="42" t="s">
        <v>319</v>
      </c>
      <c r="J5" s="43" t="s">
        <v>320</v>
      </c>
      <c r="K5" s="43" t="s">
        <v>321</v>
      </c>
    </row>
    <row r="6" spans="1:11" ht="75" customHeight="1" x14ac:dyDescent="0.3">
      <c r="A6" s="44" t="s">
        <v>467</v>
      </c>
      <c r="B6" s="17" t="s">
        <v>468</v>
      </c>
      <c r="C6" s="17" t="s">
        <v>469</v>
      </c>
      <c r="D6" s="17" t="s">
        <v>470</v>
      </c>
      <c r="E6" s="17" t="s">
        <v>471</v>
      </c>
      <c r="F6" s="17" t="s">
        <v>472</v>
      </c>
      <c r="G6" s="17" t="s">
        <v>473</v>
      </c>
      <c r="H6" s="17" t="s">
        <v>474</v>
      </c>
      <c r="I6" s="17" t="s">
        <v>475</v>
      </c>
      <c r="J6" s="17" t="s">
        <v>476</v>
      </c>
      <c r="K6" s="17" t="s">
        <v>477</v>
      </c>
    </row>
    <row r="7" spans="1:11" ht="75" customHeight="1" x14ac:dyDescent="0.3">
      <c r="A7" s="44" t="s">
        <v>339</v>
      </c>
      <c r="B7" s="17" t="s">
        <v>340</v>
      </c>
      <c r="C7" s="17" t="s">
        <v>341</v>
      </c>
      <c r="D7" s="17" t="s">
        <v>342</v>
      </c>
      <c r="E7" s="17" t="s">
        <v>343</v>
      </c>
      <c r="F7" s="17" t="s">
        <v>344</v>
      </c>
      <c r="G7" s="17" t="s">
        <v>345</v>
      </c>
      <c r="H7" s="17" t="s">
        <v>346</v>
      </c>
      <c r="I7" s="17" t="s">
        <v>347</v>
      </c>
      <c r="J7" s="17" t="s">
        <v>348</v>
      </c>
      <c r="K7" s="17" t="s">
        <v>349</v>
      </c>
    </row>
    <row r="8" spans="1:11" ht="15.75" customHeight="1" x14ac:dyDescent="0.3">
      <c r="A8" s="55" t="s">
        <v>478</v>
      </c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11" ht="84.75" customHeight="1" x14ac:dyDescent="0.3">
      <c r="A9" s="44" t="s">
        <v>479</v>
      </c>
      <c r="B9" s="48" t="s">
        <v>480</v>
      </c>
      <c r="C9" s="48" t="s">
        <v>481</v>
      </c>
      <c r="D9" s="48" t="s">
        <v>482</v>
      </c>
      <c r="E9" s="48" t="s">
        <v>483</v>
      </c>
      <c r="F9" s="48" t="s">
        <v>484</v>
      </c>
      <c r="G9" s="48" t="s">
        <v>485</v>
      </c>
      <c r="H9" s="48" t="s">
        <v>486</v>
      </c>
      <c r="I9" s="48" t="s">
        <v>487</v>
      </c>
      <c r="J9" s="48" t="s">
        <v>488</v>
      </c>
      <c r="K9" s="48" t="s">
        <v>489</v>
      </c>
    </row>
    <row r="10" spans="1:11" ht="15.75" customHeight="1" x14ac:dyDescent="0.3">
      <c r="A10" s="55" t="s">
        <v>490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</row>
    <row r="11" spans="1:11" ht="84.75" customHeight="1" x14ac:dyDescent="0.3">
      <c r="A11" s="44" t="s">
        <v>491</v>
      </c>
      <c r="B11" s="49" t="s">
        <v>492</v>
      </c>
      <c r="C11" s="49" t="s">
        <v>493</v>
      </c>
      <c r="D11" s="49" t="s">
        <v>494</v>
      </c>
      <c r="E11" s="49" t="s">
        <v>495</v>
      </c>
      <c r="F11" s="49" t="s">
        <v>496</v>
      </c>
      <c r="G11" s="49" t="s">
        <v>497</v>
      </c>
      <c r="H11" s="49" t="s">
        <v>498</v>
      </c>
      <c r="I11" s="49" t="s">
        <v>499</v>
      </c>
      <c r="J11" s="49" t="s">
        <v>500</v>
      </c>
      <c r="K11" s="49" t="s">
        <v>501</v>
      </c>
    </row>
    <row r="12" spans="1:11" ht="15.75" customHeight="1" x14ac:dyDescent="0.3">
      <c r="A12" s="55" t="s">
        <v>502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</row>
    <row r="13" spans="1:11" ht="75" customHeight="1" x14ac:dyDescent="0.3">
      <c r="A13" s="44" t="s">
        <v>503</v>
      </c>
      <c r="B13" s="17" t="s">
        <v>504</v>
      </c>
      <c r="C13" s="17" t="s">
        <v>505</v>
      </c>
      <c r="D13" s="17" t="s">
        <v>506</v>
      </c>
      <c r="E13" s="17" t="s">
        <v>507</v>
      </c>
      <c r="F13" s="17" t="s">
        <v>508</v>
      </c>
      <c r="G13" s="17" t="s">
        <v>509</v>
      </c>
      <c r="H13" s="17" t="s">
        <v>510</v>
      </c>
      <c r="I13" s="17" t="s">
        <v>263</v>
      </c>
      <c r="J13" s="17" t="s">
        <v>511</v>
      </c>
      <c r="K13" s="17" t="s">
        <v>512</v>
      </c>
    </row>
    <row r="14" spans="1:11" ht="84.75" customHeight="1" x14ac:dyDescent="0.3">
      <c r="A14" s="44" t="s">
        <v>513</v>
      </c>
      <c r="B14" s="45" t="s">
        <v>514</v>
      </c>
      <c r="C14" s="45" t="s">
        <v>515</v>
      </c>
      <c r="D14" s="45" t="s">
        <v>516</v>
      </c>
      <c r="E14" s="45" t="s">
        <v>517</v>
      </c>
      <c r="F14" s="45" t="s">
        <v>518</v>
      </c>
      <c r="G14" s="45" t="s">
        <v>519</v>
      </c>
      <c r="H14" s="45" t="s">
        <v>520</v>
      </c>
      <c r="I14" s="45" t="s">
        <v>521</v>
      </c>
      <c r="J14" s="45" t="s">
        <v>522</v>
      </c>
      <c r="K14" s="45" t="s">
        <v>523</v>
      </c>
    </row>
    <row r="16" spans="1:11" ht="39.75" customHeight="1" x14ac:dyDescent="0.3">
      <c r="A16" s="11" t="s">
        <v>524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</sheetData>
  <mergeCells count="11">
    <mergeCell ref="A8:K8"/>
    <mergeCell ref="A10:K10"/>
    <mergeCell ref="A12:K12"/>
    <mergeCell ref="A16:K16"/>
    <mergeCell ref="A1:K1"/>
    <mergeCell ref="A2:K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showGridLines="0" tabSelected="1" topLeftCell="A6" zoomScaleNormal="100" workbookViewId="0">
      <selection sqref="A1:F1"/>
    </sheetView>
  </sheetViews>
  <sheetFormatPr baseColWidth="10" defaultColWidth="8.6640625" defaultRowHeight="14.4" x14ac:dyDescent="0.3"/>
  <cols>
    <col min="1" max="1" width="4" customWidth="1"/>
    <col min="2" max="3" width="40" customWidth="1"/>
    <col min="4" max="4" width="26" customWidth="1"/>
    <col min="5" max="6" width="16" customWidth="1"/>
  </cols>
  <sheetData>
    <row r="1" spans="1:6" ht="25.5" customHeight="1" x14ac:dyDescent="0.3">
      <c r="A1" s="14" t="s">
        <v>525</v>
      </c>
      <c r="B1" s="14"/>
      <c r="C1" s="14"/>
      <c r="D1" s="14"/>
      <c r="E1" s="14"/>
      <c r="F1" s="14"/>
    </row>
    <row r="2" spans="1:6" ht="15.75" customHeight="1" x14ac:dyDescent="0.3">
      <c r="A2" s="13" t="s">
        <v>526</v>
      </c>
      <c r="B2" s="13"/>
      <c r="C2" s="13"/>
      <c r="D2" s="13"/>
      <c r="E2" s="13"/>
      <c r="F2" s="13"/>
    </row>
    <row r="4" spans="1:6" ht="27.75" customHeight="1" x14ac:dyDescent="0.3">
      <c r="A4" s="16" t="s">
        <v>89</v>
      </c>
      <c r="B4" s="16" t="s">
        <v>527</v>
      </c>
      <c r="C4" s="16" t="s">
        <v>528</v>
      </c>
      <c r="D4" s="16" t="s">
        <v>529</v>
      </c>
      <c r="E4" s="16" t="s">
        <v>530</v>
      </c>
      <c r="F4" s="16" t="s">
        <v>531</v>
      </c>
    </row>
    <row r="5" spans="1:6" ht="69.75" customHeight="1" x14ac:dyDescent="0.3">
      <c r="A5" s="24">
        <v>1</v>
      </c>
      <c r="B5" s="17" t="s">
        <v>532</v>
      </c>
      <c r="C5" s="17" t="s">
        <v>533</v>
      </c>
      <c r="D5" s="24" t="s">
        <v>534</v>
      </c>
      <c r="E5" s="28" t="s">
        <v>535</v>
      </c>
      <c r="F5" s="50" t="s">
        <v>536</v>
      </c>
    </row>
    <row r="6" spans="1:6" ht="69.75" customHeight="1" x14ac:dyDescent="0.3">
      <c r="A6" s="24">
        <v>2</v>
      </c>
      <c r="B6" s="17" t="s">
        <v>280</v>
      </c>
      <c r="C6" s="17" t="s">
        <v>537</v>
      </c>
      <c r="D6" s="24" t="s">
        <v>538</v>
      </c>
      <c r="E6" s="28" t="s">
        <v>535</v>
      </c>
      <c r="F6" s="50" t="s">
        <v>539</v>
      </c>
    </row>
    <row r="7" spans="1:6" ht="69.75" customHeight="1" x14ac:dyDescent="0.3">
      <c r="A7" s="24">
        <v>3</v>
      </c>
      <c r="B7" s="17" t="s">
        <v>281</v>
      </c>
      <c r="C7" s="17" t="s">
        <v>540</v>
      </c>
      <c r="D7" s="24" t="s">
        <v>538</v>
      </c>
      <c r="E7" s="28" t="s">
        <v>535</v>
      </c>
      <c r="F7" s="50" t="s">
        <v>539</v>
      </c>
    </row>
    <row r="8" spans="1:6" ht="69.75" customHeight="1" x14ac:dyDescent="0.3">
      <c r="A8" s="24">
        <v>4</v>
      </c>
      <c r="B8" s="17" t="s">
        <v>282</v>
      </c>
      <c r="C8" s="17" t="s">
        <v>541</v>
      </c>
      <c r="D8" s="24" t="s">
        <v>542</v>
      </c>
      <c r="E8" s="27" t="s">
        <v>50</v>
      </c>
      <c r="F8" s="50" t="s">
        <v>536</v>
      </c>
    </row>
    <row r="9" spans="1:6" ht="69.75" customHeight="1" x14ac:dyDescent="0.3">
      <c r="A9" s="24">
        <v>5</v>
      </c>
      <c r="B9" s="17" t="s">
        <v>283</v>
      </c>
      <c r="C9" s="17" t="s">
        <v>543</v>
      </c>
      <c r="D9" s="24" t="s">
        <v>544</v>
      </c>
      <c r="E9" s="28" t="s">
        <v>535</v>
      </c>
      <c r="F9" s="50" t="s">
        <v>539</v>
      </c>
    </row>
  </sheetData>
  <mergeCells count="2">
    <mergeCell ref="A1:F1"/>
    <mergeCell ref="A2:F2"/>
  </mergeCells>
  <dataValidations count="1">
    <dataValidation type="list" allowBlank="1" sqref="F5:F9" xr:uid="{00000000-0002-0000-0800-000000000000}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Guía</vt:lpstr>
      <vt:lpstr>Buyer Persona</vt:lpstr>
      <vt:lpstr>Reseñas y Encuesta</vt:lpstr>
      <vt:lpstr>Respuestas Encuesta</vt:lpstr>
      <vt:lpstr>Indicadores</vt:lpstr>
      <vt:lpstr>Customer Journey Map</vt:lpstr>
      <vt:lpstr>Customer Journey Map (To Be)</vt:lpstr>
      <vt:lpstr>Service Blueprint</vt:lpstr>
      <vt:lpstr>Insights y Oportunidades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Julie Vera</cp:lastModifiedBy>
  <cp:revision>0</cp:revision>
  <dcterms:created xsi:type="dcterms:W3CDTF">2026-08-05T19:56:34Z</dcterms:created>
  <dcterms:modified xsi:type="dcterms:W3CDTF">2026-09-14T14:13:27Z</dcterms:modified>
  <dc:language>en-US</dc:language>
</cp:coreProperties>
</file>