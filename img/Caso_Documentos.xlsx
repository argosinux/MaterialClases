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gos_oei97z9\Downloads\"/>
    </mc:Choice>
  </mc:AlternateContent>
  <xr:revisionPtr revIDLastSave="0" documentId="13_ncr:1_{0082AAF2-9590-4436-9427-3FFA927F7175}" xr6:coauthVersionLast="47" xr6:coauthVersionMax="47" xr10:uidLastSave="{00000000-0000-0000-0000-000000000000}"/>
  <bookViews>
    <workbookView xWindow="-108" yWindow="-108" windowWidth="23256" windowHeight="13176" tabRatio="500" firstSheet="3" activeTab="6" xr2:uid="{00000000-000D-0000-FFFF-FFFF00000000}"/>
  </bookViews>
  <sheets>
    <sheet name="Guía" sheetId="1" r:id="rId1"/>
    <sheet name="Contexto de la Organización" sheetId="2" r:id="rId2"/>
    <sheet name="Buyer Persona" sheetId="3" r:id="rId3"/>
    <sheet name="Reseñas y Encuesta" sheetId="4" r:id="rId4"/>
    <sheet name="Respuestas Encuesta" sheetId="5" r:id="rId5"/>
    <sheet name="Indicadores" sheetId="6" r:id="rId6"/>
    <sheet name="Customer Journey Map" sheetId="7" r:id="rId7"/>
    <sheet name="Customer Journey Map (To Be)" sheetId="8" r:id="rId8"/>
    <sheet name="Service Blueprint" sheetId="9" r:id="rId9"/>
    <sheet name="Insights y Oportunidade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6" l="1"/>
  <c r="B40" i="6"/>
  <c r="B39" i="6"/>
  <c r="B38" i="6"/>
  <c r="B37" i="6"/>
  <c r="B42" i="6" s="1"/>
  <c r="C42" i="6" s="1"/>
  <c r="C19" i="6"/>
  <c r="B19" i="6"/>
  <c r="D19" i="6" s="1"/>
  <c r="E19" i="6" s="1"/>
  <c r="C18" i="6"/>
  <c r="B18" i="6"/>
  <c r="D18" i="6" s="1"/>
  <c r="E18" i="6" s="1"/>
  <c r="C17" i="6"/>
  <c r="B17" i="6"/>
  <c r="D17" i="6" s="1"/>
  <c r="E17" i="6" s="1"/>
  <c r="C16" i="6"/>
  <c r="B16" i="6"/>
  <c r="D16" i="6" s="1"/>
  <c r="E16" i="6" s="1"/>
  <c r="C15" i="6"/>
  <c r="B15" i="6"/>
  <c r="D15" i="6" s="1"/>
  <c r="E15" i="6" s="1"/>
  <c r="B11" i="6"/>
  <c r="D11" i="6" s="1"/>
  <c r="B10" i="6"/>
  <c r="D10" i="6" s="1"/>
  <c r="B9" i="6"/>
  <c r="D9" i="6" s="1"/>
  <c r="B8" i="6"/>
  <c r="D8" i="6" s="1"/>
  <c r="B7" i="6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B28" i="6" s="1"/>
  <c r="E8" i="5"/>
  <c r="E7" i="5"/>
  <c r="E6" i="5"/>
  <c r="D28" i="4"/>
  <c r="D27" i="4"/>
  <c r="D26" i="4"/>
  <c r="B26" i="6" l="1"/>
  <c r="B27" i="6"/>
  <c r="B29" i="6" l="1"/>
  <c r="B31" i="6" s="1"/>
  <c r="C31" i="6" s="1"/>
  <c r="C26" i="6"/>
  <c r="C27" i="6"/>
  <c r="C28" i="6"/>
</calcChain>
</file>

<file path=xl/sharedStrings.xml><?xml version="1.0" encoding="utf-8"?>
<sst xmlns="http://schemas.openxmlformats.org/spreadsheetml/2006/main" count="882" uniqueCount="600">
  <si>
    <t>Dirección de Registro Civil y Documentación — Emisión de Partida de Nacimiento</t>
  </si>
  <si>
    <t>Caso ficticio de un ente público que quiere digitalizar la emisión de documentos, con la misma metodología usada para Clínica Bermejo, Café Aurora y Hotel Costa Azul</t>
  </si>
  <si>
    <t>Cómo usar este archivo</t>
  </si>
  <si>
    <t>Pestaña</t>
  </si>
  <si>
    <t>Contenido</t>
  </si>
  <si>
    <t>Qué hacer</t>
  </si>
  <si>
    <t>Contexto de la Organización</t>
  </si>
  <si>
    <t>Ficha del organismo ficticio: qué es, qué servicios presta, cómo es hoy el proceso de emisión de documentos, y cuál es el objetivo del proyecto de digitalización.</t>
  </si>
  <si>
    <t>Leer primero: da el marco institucional y el 'por qué' del proyecto que enmarca al resto de las pestañas.</t>
  </si>
  <si>
    <t>Buyer Persona</t>
  </si>
  <si>
    <t>Ficha de Silvina Duarte, persona ficticia que representa al ciudadano que necesita el trámite de forma puntual y urgente: datos generales, objetivos, frustraciones (ligadas a los hallazgos), motivaciones y factores de satisfacción.</t>
  </si>
  <si>
    <t>Usar como referencia rápida de 'para quién' se diseña el resto del archivo (reseñas, CJM, blueprint).</t>
  </si>
  <si>
    <t>Reseñas y Encuesta</t>
  </si>
  <si>
    <t>Reseñas ficticias de Google Maps sobre la sede del organismo, construidas para ilustrar 5 hallazgos típicos de un trámite público no digitalizado, y agregados de la encuesta (NPS, CSAT, CES) calculados desde 'Respuestas Encuesta'.</t>
  </si>
  <si>
    <t>Las reseñas ya están cargadas. Los agregados de encuesta se recalculan solos cuando actualices la base de respuestas.</t>
  </si>
  <si>
    <t>Respuestas Encuesta</t>
  </si>
  <si>
    <t>Base de 50 respuestas individuales de una encuesta de satisfacción ciudadana (dato de prueba/ficticio): NPS, CSAT, CES, aspecto valorado, categoría asociada y comentario.</t>
  </si>
  <si>
    <t>Reemplazar estas 50 filas por datos reales cuando existan; el resto del archivo se recalcula automáticamente.</t>
  </si>
  <si>
    <t>Indicadores</t>
  </si>
  <si>
    <t>Métricas calculadas automáticamente a partir de las reseñas y de las 50 respuestas de encuesta: rating promedio, % positivas/negativas, menciones por categoría, NPS y CSAT, cada uno con su definición e interpretación del resultado obtenido.</t>
  </si>
  <si>
    <t>No requiere carga manual: todo se recalcula solo desde 'Reseñas y Encuesta' y 'Respuestas Encuesta'.</t>
  </si>
  <si>
    <t>Customer Journey Map</t>
  </si>
  <si>
    <t>Mapa As Is de las 5 etapas / 10 subetapas del recorrido del ciudadano: descripción de cada etapa, touchpoints, acciones, emociones, dolores y oportunidades por subetapa.</t>
  </si>
  <si>
    <t>Base para trabajar en clase o ajustar con el grupo. Cada columna cita la evidencia de la que sale (reseña / hallazgo).</t>
  </si>
  <si>
    <t>Customer Journey Map (To Be)</t>
  </si>
  <si>
    <t>Misma estructura que el As Is, pero con el recorrido deseado una vez digitalizado el trámite: touchpoints mejorados, emociones esperadas, la mejora que resuelve cada dolor y el KPI para medirla.</t>
  </si>
  <si>
    <t>Usar para diseñar el plan de digitalización; cada subetapa está vinculada al hallazgo del As Is que resuelve.</t>
  </si>
  <si>
    <t>Service Blueprint</t>
  </si>
  <si>
    <t>Complementa el CJM As Is con la vista interna del servicio: evidencia física, acciones del ciudadano, frontstage, backstage, procesos de soporte y punto de fallo potencial por subetapa.</t>
  </si>
  <si>
    <t>Usar para identificar qué proceso o sistema interno hay que ajustar para resolver cada punto de dolor del CJM.</t>
  </si>
  <si>
    <t>Insights y Oportunidades</t>
  </si>
  <si>
    <t>Síntesis de los 5 hallazgos con nivel de impacto y prioridad sugerida.</t>
  </si>
  <si>
    <t>Usar como tablero de priorización; el campo Prioridad tiene lista desplegable.</t>
  </si>
  <si>
    <t>Convención de colores</t>
  </si>
  <si>
    <t xml:space="preserve">  </t>
  </si>
  <si>
    <t>Celda para completar (input del usuario / dato de la encuesta)</t>
  </si>
  <si>
    <t>Indicador o comentario en rango positivo</t>
  </si>
  <si>
    <t>Indicador o comentario en rango negativo / de atención</t>
  </si>
  <si>
    <t>Caso: es un caso 100% ficticio (la Dirección de Registro Civil y Documentación de la Provincia de Nueva Trinidad no existe), construido replicando la misma metodología aplicada a los casos de Clínica Bermejo, Café Aurora y Hotel Costa Azul, ahora aplicada a un organismo público que busca digitalizar un trámite.</t>
  </si>
  <si>
    <t>Contexto de la Organización (ficticia)</t>
  </si>
  <si>
    <t>Dirección de Registro Civil y Documentación de la Provincia de Nueva Trinidad (DRCyD)</t>
  </si>
  <si>
    <t>Datos generales del organismo</t>
  </si>
  <si>
    <t>Nombre (ficticio)</t>
  </si>
  <si>
    <t>Tipo de organismo</t>
  </si>
  <si>
    <t>Organismo público provincial, dependiente del Ministerio de Gobierno</t>
  </si>
  <si>
    <t>Jurisdicción</t>
  </si>
  <si>
    <t>Provincia de Nueva Trinidad (ficticia): ~850.000 habitantes, 1 sede central y 12 delegaciones municipales</t>
  </si>
  <si>
    <t>Misión</t>
  </si>
  <si>
    <t>Registrar los hechos y actos del estado civil de las personas (nacimientos, matrimonios, defunciones) y emitir la documentación asociada con validez legal en toda la provincia</t>
  </si>
  <si>
    <t>Marco legal</t>
  </si>
  <si>
    <t>Ley provincial de Registro Civil y Capacidad de las Personas (ficticia); el proyecto de digitalización busca adherir a la normativa de firma digital vigente</t>
  </si>
  <si>
    <t>Servicios que presta</t>
  </si>
  <si>
    <t>•  Emisión de partidas de nacimiento, matrimonio y defunción.</t>
  </si>
  <si>
    <t>•  Inscripción de nacimientos y matrimonios.</t>
  </si>
  <si>
    <t>•  Rectificaciones y actualizaciones de datos registrales.</t>
  </si>
  <si>
    <t>•  Certificados de supervivencia y otros trámites conexos.</t>
  </si>
  <si>
    <t>Trámite foco de este análisis: Emisión de Partida de Nacimiento — es el trámite más solicitado (~60% del volumen total) y el elegido para el proyecto piloto de digitalización.</t>
  </si>
  <si>
    <t>Volumen y estado actual del proceso</t>
  </si>
  <si>
    <t>Volumen anual</t>
  </si>
  <si>
    <t>≈ 180.000 partidas emitidas por año en toda la provincia; ~65% se solicitan en la sede central</t>
  </si>
  <si>
    <t>Canal actual</t>
  </si>
  <si>
    <t>100% presencial: el ciudadano debe sacar turno (telefónico o presencial) y presentarse en la sede o delegación</t>
  </si>
  <si>
    <t>Tiempo de espera de turno</t>
  </si>
  <si>
    <t>Entre 20 y 45 días en temporada alta (marzo, inicio de clases)</t>
  </si>
  <si>
    <t>Tiempo de emisión</t>
  </si>
  <si>
    <t>Entre 5 y 10 días hábiles una vez presentado el trámite</t>
  </si>
  <si>
    <t>Seguimiento del trámite</t>
  </si>
  <si>
    <t>No existe opción de seguimiento online del estado del trámite</t>
  </si>
  <si>
    <t>Información de requisitos</t>
  </si>
  <si>
    <t>Publicada en la web institucional, pero desactualizada en varias delegaciones del interior</t>
  </si>
  <si>
    <t>Objetivo del proyecto de digitalización</t>
  </si>
  <si>
    <t>•  Permitir la solicitud y el seguimiento del trámite 100% online.</t>
  </si>
  <si>
    <t>•  Implementar la partida de nacimiento digital, con firma electrónica y validación por código QR.</t>
  </si>
  <si>
    <t>•  Reducir el tiempo total del trámite de ~30 días a menos de 5 días hábiles.</t>
  </si>
  <si>
    <t>•  Reducir la necesidad de presencialidad, especialmente para ciudadanos del interior de la provincia.</t>
  </si>
  <si>
    <t>Stakeholders internos</t>
  </si>
  <si>
    <t>•  Dirección de Registro Civil (sponsor del proyecto).</t>
  </si>
  <si>
    <t>•  Área de Sistemas / Tecnología (desarrollo de la plataforma digital).</t>
  </si>
  <si>
    <t>•  Mesa de entradas y personal de atención al público (usuarios internos del nuevo sistema).</t>
  </si>
  <si>
    <t>•  Delegaciones municipales del interior (12 sedes descentralizadas).</t>
  </si>
  <si>
    <t>•  Área legal (validación normativa de la firma digital y de la validez del documento).</t>
  </si>
  <si>
    <t>Restricciones / condicionantes</t>
  </si>
  <si>
    <t>•  Presupuesto público limitado, con aprobación anual sujeta a partidas presupuestarias.</t>
  </si>
  <si>
    <t>•  Brecha digital: parte de la población del interior tiene acceso limitado a internet o baja alfabetización digital.</t>
  </si>
  <si>
    <t>•  Necesidad de adecuar la normativa provincial para reconocer la validez legal de documentos digitales.</t>
  </si>
  <si>
    <t>•  Necesidad de interoperabilidad con otros organismos (escuelas, organismos nacionales de identidad, seguridad social) que reciben estos documentos.</t>
  </si>
  <si>
    <t>Métricas de éxito del proyecto</t>
  </si>
  <si>
    <t>•  % de trámites iniciados online.</t>
  </si>
  <si>
    <t>•  Tiempo promedio de emisión del documento.</t>
  </si>
  <si>
    <t>•  % de trámites que requieren presencialidad.</t>
  </si>
  <si>
    <t>•  Nivel de satisfacción ciudadana (NPS / CSAT) del trámite.</t>
  </si>
  <si>
    <t>Buyer Persona — Silvina Duarte (perfil ficticio)</t>
  </si>
  <si>
    <t>Representa al ciudadano que necesita el trámite de forma puntual y urgente (DRCyD)</t>
  </si>
  <si>
    <t>Nota: es un personaje ficticio construido para un caso también ficticio (DRCyD). No representa a una ciudadana real.</t>
  </si>
  <si>
    <t>Datos generales</t>
  </si>
  <si>
    <t>Silvina Duarte</t>
  </si>
  <si>
    <t>Edad</t>
  </si>
  <si>
    <t>45 años</t>
  </si>
  <si>
    <t>Ubicación</t>
  </si>
  <si>
    <t>Puerto Alegre, a 120 km de la sede central del Registro Civil</t>
  </si>
  <si>
    <t>Ocupación</t>
  </si>
  <si>
    <t>Empleada administrativa en un comercio local</t>
  </si>
  <si>
    <t>Estado civil</t>
  </si>
  <si>
    <t>Casada, un hijo de 6 años</t>
  </si>
  <si>
    <t>Segmento</t>
  </si>
  <si>
    <t>Ciudadanos que necesitan un trámite puntual y urgente, sin relación recurrente con el organismo</t>
  </si>
  <si>
    <t>Motivo del trámite</t>
  </si>
  <si>
    <t>Necesita la partida de nacimiento de su hijo para inscribirlo en la escuela primaria antes de marzo</t>
  </si>
  <si>
    <t>Frecuencia de uso del organismo</t>
  </si>
  <si>
    <t>Muy baja: una vez cada varios años, cuando surge una necesidad puntual</t>
  </si>
  <si>
    <t>"No tengo tiempo de perder un día entero de trabajo para hacer un trámite que debería resolverse en minutos."</t>
  </si>
  <si>
    <t>Bio / Contexto</t>
  </si>
  <si>
    <t>Silvina vive en Puerto Alegre, una localidad del interior de la provincia, lejos de la sede central del Registro Civil. No tiene mucha experiencia con trámites online y depende de lo que encuentra en la web oficial (a veces desactualizada) o de lo que le cuentan otros vecinos que ya hicieron el mismo trámite. Para resolverlo tiene que pedir el día en el trabajo y viajar hasta la sede, algo que le genera bastante estrés porque tiene una fecha límite externa (la inscripción escolar de su hijo) que no depende de ella.</t>
  </si>
  <si>
    <t>Objetivos</t>
  </si>
  <si>
    <t>•  Conseguir la partida de nacimiento de su hijo a tiempo para la inscripción escolar.</t>
  </si>
  <si>
    <t>•  Resolver el trámite sin perder un día completo de trabajo ni viajar 120 km.</t>
  </si>
  <si>
    <t>•  Entender con claridad qué requisitos necesita antes de ir.</t>
  </si>
  <si>
    <t>Frustraciones (ligadas a los hallazgos)</t>
  </si>
  <si>
    <t>Frustración</t>
  </si>
  <si>
    <t>Hallazgo relacionado</t>
  </si>
  <si>
    <t>Los turnos disponibles estaban muy lejos en el tiempo; no llegaba a la fecha límite de la escuela.</t>
  </si>
  <si>
    <t>Hallazgo 2</t>
  </si>
  <si>
    <t>La información de requisitos en la web no estaba actualizada.</t>
  </si>
  <si>
    <t>Hallazgo 4</t>
  </si>
  <si>
    <t>No existe una forma de hacer el trámite a distancia: tiene que viajar sí o sí.</t>
  </si>
  <si>
    <t>Hallazgo 5</t>
  </si>
  <si>
    <t>Le preocupa que haya un error en los datos del documento y tener que reiniciar todo el trámite.</t>
  </si>
  <si>
    <t>Hallazgo 3</t>
  </si>
  <si>
    <t>Motivaciones</t>
  </si>
  <si>
    <t>•  Evitar perder días de trabajo por un trámite administrativo.</t>
  </si>
  <si>
    <t>•  Poder resolver trámites del Estado con la misma facilidad que otras gestiones online (banco, servicios).</t>
  </si>
  <si>
    <t>•  Que la información oficial sea clara y confiable.</t>
  </si>
  <si>
    <t>Canales que usa</t>
  </si>
  <si>
    <t>Web oficial del organismo, teléfono de la sede, boca a boca de otros vecinos y Google Maps para consultar horarios y reseñas antes de ir.</t>
  </si>
  <si>
    <t>Factores que más valora del proceso (de mayor a menor peso)</t>
  </si>
  <si>
    <t>1. Rapidez del trámite (que no le insuma más tiempo del necesario).</t>
  </si>
  <si>
    <t>2. Claridad de la información sobre requisitos.</t>
  </si>
  <si>
    <t>3. Posibilidad de resolverlo a distancia, sin viajar.</t>
  </si>
  <si>
    <t>4. Trato del personal cuando finalmente es atendida.</t>
  </si>
  <si>
    <t>Relación con el organismo</t>
  </si>
  <si>
    <t>A diferencia de los casos de la cafetería o el hotel, acá Silvina no elige ni puede cambiar de organismo: el vínculo es obligatorio, no comercial. Por eso la lógica de 'fidelización' no aplica igual; lo que está en juego es la confianza institucional y la carga (tiempo, viajes, incertidumbre) que el trámite le genera. Reducir esa carga es, en sí mismo, el objetivo del proyecto de digitalización.</t>
  </si>
  <si>
    <t>Voz del Ciudadano — Reseñas (Google Maps) y Encuesta de Satisfacción</t>
  </si>
  <si>
    <t>Trámite analizado: Emisión de Partida de Nacimiento (caso ficticio, DRCyD)</t>
  </si>
  <si>
    <t>#</t>
  </si>
  <si>
    <t>Fuente</t>
  </si>
  <si>
    <t>Autor</t>
  </si>
  <si>
    <t>Calificación (1-5)</t>
  </si>
  <si>
    <t>Antigüedad</t>
  </si>
  <si>
    <t>Comentario (resumen)</t>
  </si>
  <si>
    <t>Categoría / Hallazgo</t>
  </si>
  <si>
    <t>Sentimiento</t>
  </si>
  <si>
    <t>Google Maps</t>
  </si>
  <si>
    <t>Miriam Casas</t>
  </si>
  <si>
    <t>Hace 6 meses</t>
  </si>
  <si>
    <t>La empleada que me atendió fue muy amable y me explicó todo el trámite paso a paso.</t>
  </si>
  <si>
    <t>1) Buen trato del personal cuando atiende</t>
  </si>
  <si>
    <t>Positivo</t>
  </si>
  <si>
    <t>Ramiro Estévez</t>
  </si>
  <si>
    <t>Hace 10 meses</t>
  </si>
  <si>
    <t>A pesar de la fila, una vez que te atienden el trato es excelente.</t>
  </si>
  <si>
    <t>Débora Sosa</t>
  </si>
  <si>
    <t>Hace 1 año</t>
  </si>
  <si>
    <t>El personal de mesa de entradas siempre dispuesto a ayudar, aunque el sistema es lento.</t>
  </si>
  <si>
    <t>Mixto</t>
  </si>
  <si>
    <t>Reseña sin nombre (cita textual)</t>
  </si>
  <si>
    <t>N/D</t>
  </si>
  <si>
    <t>"Se nota que quieren ayudar, el problema es el sistema, no la gente."</t>
  </si>
  <si>
    <t>Walter Guzmán</t>
  </si>
  <si>
    <t>Hace 3 meses</t>
  </si>
  <si>
    <t>Pedí turno y me dieron para dentro de 45 días. Necesitaba la partida antes.</t>
  </si>
  <si>
    <t>2) Turnos escasos y demoras</t>
  </si>
  <si>
    <t>Negativo</t>
  </si>
  <si>
    <t>Norma Villalba</t>
  </si>
  <si>
    <t>Hace 4 meses</t>
  </si>
  <si>
    <t>Fui sin turno porque no conseguía online y me dijeron que tenía que sacar turno igual. Perdí el día.</t>
  </si>
  <si>
    <t>Ariel Coronel</t>
  </si>
  <si>
    <t>Hace 2 meses</t>
  </si>
  <si>
    <t>Me dieron la partida con un error en la fecha de nacimiento. Tuve que volver a hacer todo el trámite de nuevo.</t>
  </si>
  <si>
    <t>3) Errores en los datos del documento emitido</t>
  </si>
  <si>
    <t>Yesica Molina</t>
  </si>
  <si>
    <t>Hace 5 meses</t>
  </si>
  <si>
    <t>El documento llegó con un dato mal tipeado, tuve que reclamar y tardaron semanas en corregirlo.</t>
  </si>
  <si>
    <t>Fabián Chávez</t>
  </si>
  <si>
    <t>Hace 1 mes</t>
  </si>
  <si>
    <t>La página web tiene información vieja, los requisitos que pedían no eran los que decía la web.</t>
  </si>
  <si>
    <t>4) Información de requisitos poco clara o desactualizada</t>
  </si>
  <si>
    <t>Instagram</t>
  </si>
  <si>
    <t>Varios usuarios (consultas espontáneas)</t>
  </si>
  <si>
    <t>Varios comentarios preguntando por requisitos del trámite, sin respuesta visible.</t>
  </si>
  <si>
    <t>Patricia Ledesma</t>
  </si>
  <si>
    <t>Hace 7 meses</t>
  </si>
  <si>
    <t>No existe forma de hacer el trámite online, hay que ir sí o sí presencialmente aunque vivas lejos.</t>
  </si>
  <si>
    <t>5) Falta de un canal 100% digital</t>
  </si>
  <si>
    <t>Osvaldo Ibarra</t>
  </si>
  <si>
    <t>Vine desde 3 horas en auto porque no hay forma de gestionar esto a distancia.</t>
  </si>
  <si>
    <t>Carla Benítez</t>
  </si>
  <si>
    <t>Hace 9 meses</t>
  </si>
  <si>
    <t>Cuando por fin te atienden, la gente labura bien; lo que falla es que todo depende de ir en persona.</t>
  </si>
  <si>
    <t>Nota: reseñas 100% ficticias, redactadas para ilustrar 5 hallazgos típicos de un trámite público no digitalizado (Fuente simulada: Google Maps e Instagram). Las calificaciones en estrellas de Instagram no aplican (N/D).</t>
  </si>
  <si>
    <t>Encuesta de satisfacción ciudadana</t>
  </si>
  <si>
    <t>Los valores de abajo se calculan automáticamente a partir de las 50 respuestas cargadas en la pestaña 'Respuestas Encuesta' (dato de prueba/ficticio).</t>
  </si>
  <si>
    <t>Pregunta de la encuesta</t>
  </si>
  <si>
    <t>Tipo de respuesta</t>
  </si>
  <si>
    <t>Respuesta / Valor</t>
  </si>
  <si>
    <t>Escala</t>
  </si>
  <si>
    <t>¿Con qué probabilidad recomendarías este trámite a un familiar o amigo?</t>
  </si>
  <si>
    <t>Numérica (NPS)</t>
  </si>
  <si>
    <t>0 a 10</t>
  </si>
  <si>
    <t>¿Cómo calificarías tu satisfacción general con el trámite?</t>
  </si>
  <si>
    <t>Numérica (CSAT)</t>
  </si>
  <si>
    <t>1 a 5</t>
  </si>
  <si>
    <t>¿Qué tan rápido se resolvió el trámite?</t>
  </si>
  <si>
    <t>Numérica (CES simplificado)</t>
  </si>
  <si>
    <t>¿Qué aspecto valorás más del proceso?</t>
  </si>
  <si>
    <t>Abierta / opción múltiple</t>
  </si>
  <si>
    <t>Ver detalle por respuesta en la pestaña 'Respuestas Encuesta', columna H</t>
  </si>
  <si>
    <t>Texto</t>
  </si>
  <si>
    <t>¿Qué mejorarías del trámite?</t>
  </si>
  <si>
    <t>Abierta</t>
  </si>
  <si>
    <t>Ver comentario y categoría asociada en la pestaña 'Respuestas Encuesta', columnas I-J</t>
  </si>
  <si>
    <t>⚠ Los promedios de arriba dependen de los datos de prueba (ficticios) cargados en 'Respuestas Encuesta'. Al reemplazar esa base por datos reales, estos valores se actualizan solos.</t>
  </si>
  <si>
    <t>Respuestas Individuales — Encuesta de Satisfacción Ciudadana</t>
  </si>
  <si>
    <t>Base de 50 respuestas simuladas para practicar el cálculo de NPS, CSAT y CES (caso ficticio, DRCyD)</t>
  </si>
  <si>
    <t>⚠ Estas 50 respuestas son datos de prueba (ficticios), generados para completar el ejercicio. Reemplazar por datos reales cuando existan; el resto del archivo (pestañas 'Reseñas y Encuesta' e 'Indicadores') se recalcula solo.</t>
  </si>
  <si>
    <t>ID</t>
  </si>
  <si>
    <t>Fecha</t>
  </si>
  <si>
    <t>Canal</t>
  </si>
  <si>
    <t>NPS (0-10)</t>
  </si>
  <si>
    <t>Clasificación NPS</t>
  </si>
  <si>
    <t>CSAT (1-5)</t>
  </si>
  <si>
    <t>CES (1-5)</t>
  </si>
  <si>
    <t>Aspecto más valorado</t>
  </si>
  <si>
    <t>Categoría asociada (hallazgo)</t>
  </si>
  <si>
    <t>R001</t>
  </si>
  <si>
    <t>Posibilidad de hacerlo online</t>
  </si>
  <si>
    <t>El empleado que me atendió fue muy amable.</t>
  </si>
  <si>
    <t>R002</t>
  </si>
  <si>
    <t>WhatsApp</t>
  </si>
  <si>
    <t>Muy pocos turnos disponibles.</t>
  </si>
  <si>
    <t>R003</t>
  </si>
  <si>
    <t>Formulario en la sede</t>
  </si>
  <si>
    <t>Otro</t>
  </si>
  <si>
    <t>R004</t>
  </si>
  <si>
    <t>Se nota que quieren ayudar.</t>
  </si>
  <si>
    <t>R005</t>
  </si>
  <si>
    <t>Tuve que reclamar por un error en la partida.</t>
  </si>
  <si>
    <t>R006</t>
  </si>
  <si>
    <t>Tuve que viajar sí o sí para hacer el trámite.</t>
  </si>
  <si>
    <t>R007</t>
  </si>
  <si>
    <t>R008</t>
  </si>
  <si>
    <t>Encuesta telefónica</t>
  </si>
  <si>
    <t>R009</t>
  </si>
  <si>
    <t>Rapidez del trámite</t>
  </si>
  <si>
    <t>Sin comentario asociado</t>
  </si>
  <si>
    <t>-</t>
  </si>
  <si>
    <t>R010</t>
  </si>
  <si>
    <t>Trato del personal</t>
  </si>
  <si>
    <t>Sería mejor si se pudiera gestionar a distancia.</t>
  </si>
  <si>
    <t>R011</t>
  </si>
  <si>
    <t>Precisión de los datos del documento</t>
  </si>
  <si>
    <t>El turno tardó mucho en salir.</t>
  </si>
  <si>
    <t>R012</t>
  </si>
  <si>
    <t>Encontré un error de tipeo en mis datos.</t>
  </si>
  <si>
    <t>R013</t>
  </si>
  <si>
    <t>Tuve que esperar semanas para conseguir fecha.</t>
  </si>
  <si>
    <t>R014</t>
  </si>
  <si>
    <t>Claridad de la información</t>
  </si>
  <si>
    <t>R015</t>
  </si>
  <si>
    <t>La web tenía información desactualizada.</t>
  </si>
  <si>
    <t>R016</t>
  </si>
  <si>
    <t>R017</t>
  </si>
  <si>
    <t>R018</t>
  </si>
  <si>
    <t>R019</t>
  </si>
  <si>
    <t>R020</t>
  </si>
  <si>
    <t>Buena predisposición del personal, a pesar de la demora del sistema.</t>
  </si>
  <si>
    <t>R021</t>
  </si>
  <si>
    <t>Todo bien, sin comentarios.</t>
  </si>
  <si>
    <t>R022</t>
  </si>
  <si>
    <t>R023</t>
  </si>
  <si>
    <t>R024</t>
  </si>
  <si>
    <t>R025</t>
  </si>
  <si>
    <t>Me dieron el documento con un dato mal.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</si>
  <si>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</si>
  <si>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</si>
  <si>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</si>
  <si>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</si>
  <si>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</si>
  <si>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</si>
  <si>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</si>
  <si>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</si>
  <si>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</si>
  <si>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</si>
  <si>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</si>
  <si>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No hay forma de hacer el trámite online.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</si>
  <si>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</si>
  <si>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</si>
  <si>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</si>
  <si>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</si>
  <si>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</si>
  <si>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</si>
  <si>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</si>
  <si>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</si>
  <si>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</si>
  <si>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No encontré claro qué requisitos necesitaba.</t>
  </si>
  <si>
    <t>R046</t>
  </si>
  <si>
    <t>R047</t>
  </si>
  <si>
    <t>R048</t>
  </si>
  <si>
    <t>R049</t>
  </si>
  <si>
    <t>R050</t>
  </si>
  <si>
    <t>Indicadores de Experiencia del Ciudadano</t>
  </si>
  <si>
    <t>Parte se calcula automáticamente desde 'Reseñas y Encuesta'; NPS/CSAT desde 'Respuestas Encuesta'</t>
  </si>
  <si>
    <t>⚠ El NPS y el CSAT se calculan automáticamente a partir de las 50 respuestas (datos de prueba/ficticios) de la pestaña 'Respuestas Encuesta'. Reemplazá esa base cuando tengas los datos reales.</t>
  </si>
  <si>
    <t>1. Indicadores calculados a partir de reseñas (Google Maps + Instagram)</t>
  </si>
  <si>
    <t>Indicador</t>
  </si>
  <si>
    <t>Resultado</t>
  </si>
  <si>
    <t>¿Qué mide?</t>
  </si>
  <si>
    <t>Cómo interpretar el resultado obtenido</t>
  </si>
  <si>
    <t>Cantidad de reseñas relevadas</t>
  </si>
  <si>
    <t>Cantidad total de reseñas de Google Maps e Instagram registradas en la pestaña 'Reseñas y Encuesta'.</t>
  </si>
  <si>
    <t>—</t>
  </si>
  <si>
    <t>Calificación promedio (solo reseñas con estrellas)</t>
  </si>
  <si>
    <t>Promedio de estrellas (escala 1 a 5) de las reseñas que incluyen calificación numérica.</t>
  </si>
  <si>
    <t>% Reseñas positivas</t>
  </si>
  <si>
    <t>Proporción de reseñas cuyo tono general fue clasificado como positivo en 'Reseñas y Encuesta'.</t>
  </si>
  <si>
    <t>% Reseñas negativas</t>
  </si>
  <si>
    <t>Proporción de reseñas cuyo tono general fue clasificado como negativo en 'Reseñas y Encuesta'.</t>
  </si>
  <si>
    <t>% Reseñas mixtas</t>
  </si>
  <si>
    <t>Proporción de reseñas que combinan aspectos positivos y negativos en el mismo comentario.</t>
  </si>
  <si>
    <t>Menciones por categoría — reseñas + encuesta (50 respuestas)</t>
  </si>
  <si>
    <t>Categoría</t>
  </si>
  <si>
    <t>Menciones en reseñas</t>
  </si>
  <si>
    <t>Menciones en encuesta</t>
  </si>
  <si>
    <t>Total combinado</t>
  </si>
  <si>
    <t>% del total combinado</t>
  </si>
  <si>
    <t>¿Qué implica este hallazgo?</t>
  </si>
  <si>
    <t>El personal de atención, cuando atiende, genera confianza gracias a un trato cálido y claro.</t>
  </si>
  <si>
    <t>Los turnos disponibles son escasos, generando demoras de hasta 45 días en temporada alta.</t>
  </si>
  <si>
    <t>Existen errores en los datos de los documentos emitidos, que obligan a reiniciar el trámite.</t>
  </si>
  <si>
    <t>La información de requisitos en los canales digitales está desactualizada o es inconsistente entre delegaciones.</t>
  </si>
  <si>
    <t>El trámite exige presencialidad en todas sus etapas, sin una alternativa 100% digital.</t>
  </si>
  <si>
    <t>2. NPS (Net Promoter Score) — calculado desde 'Respuestas Encuesta' (n=50)</t>
  </si>
  <si>
    <t>¿Qué mide? La disposición a recomendar el trámite: resulta de restar el % de detractores al % de promotores (rango de -100% a 100%), a partir de la pregunta '¿qué probabilidad hay de que lo recomiendes?' (escala 0 a 10).</t>
  </si>
  <si>
    <t>Concepto</t>
  </si>
  <si>
    <t>Cantidad de respuestas</t>
  </si>
  <si>
    <t>% sobre el total</t>
  </si>
  <si>
    <t>¿Qué significa este grupo?</t>
  </si>
  <si>
    <t>Promotores (calificación 9-10)</t>
  </si>
  <si>
    <t>Ciudadanos conformes con el trámite: probablemente lo describan como una buena experiencia si se lo preguntan.</t>
  </si>
  <si>
    <t>Pasivos (calificación 7-8)</t>
  </si>
  <si>
    <t>Ciudadanos que resolvieron el trámite pero con reservas: no lo destacarían ni lo criticarían activamente.</t>
  </si>
  <si>
    <t>Detractores (calificación 0-6)</t>
  </si>
  <si>
    <t>Ciudadanos insatisfechos: es probable que hablen mal del trámite o del organismo con otros vecinos.</t>
  </si>
  <si>
    <t>Total de respuestas</t>
  </si>
  <si>
    <t>Tamaño de la muestra (n) sobre la que se calculan los porcentajes de arriba: cuanto mayor sea, más confiable es el resultado.</t>
  </si>
  <si>
    <t>NPS = % Promotores − % Detractores</t>
  </si>
  <si>
    <t>3. CSAT (Satisfacción, escala 1-5) — calculado desde 'Respuestas Encuesta' (n=50)</t>
  </si>
  <si>
    <t>¿Qué mide? El % de encuestados satisfechos: quienes calificaron el trámite con 4 o 5 sobre 5. El benchmark habitual en servicios de atención ciudadana ronda el 80%.</t>
  </si>
  <si>
    <t>Calificación</t>
  </si>
  <si>
    <t>CSAT (% calificaciones 4 y 5)</t>
  </si>
  <si>
    <t>Customer Journey Map (As Is) — Ciudadano que Solicita una Partida de Nacimiento</t>
  </si>
  <si>
    <t>Estado actual del recorrido, con detalle por subetapa | DRCyD (caso ficticio) | trámite: Emisión de Partida de Nacimiento</t>
  </si>
  <si>
    <t>Etapa</t>
  </si>
  <si>
    <t>1. Información y requisitos</t>
  </si>
  <si>
    <t>2. Solicitud del trámite</t>
  </si>
  <si>
    <t>3. Presentación en sede</t>
  </si>
  <si>
    <t>4. Emisión y entrega</t>
  </si>
  <si>
    <t>5. Posentrega</t>
  </si>
  <si>
    <t>Subetapa</t>
  </si>
  <si>
    <t>a) Búsqueda de información
sobre requisitos</t>
  </si>
  <si>
    <t>b) Consulta
de dudas</t>
  </si>
  <si>
    <t>a) Solicitud
de turno</t>
  </si>
  <si>
    <t>b) Preparación de la
documentación</t>
  </si>
  <si>
    <t>a) Llegada y espera
en la sede</t>
  </si>
  <si>
    <t>b) Atención en ventanilla
/ verificación</t>
  </si>
  <si>
    <t>a) Procesamiento
y emisión</t>
  </si>
  <si>
    <t>b) Entrega del
documento</t>
  </si>
  <si>
    <t>a) Uso del
documento</t>
  </si>
  <si>
    <t>b) Percepción
y feedback</t>
  </si>
  <si>
    <t>Descripción de la etapa</t>
  </si>
  <si>
    <t>Momento en que el ciudadano busca información sobre los requisitos del trámite y resuelve dudas antes de iniciarlo.</t>
  </si>
  <si>
    <t>El ciudadano solicita un turno y reúne la documentación necesaria para presentarse.</t>
  </si>
  <si>
    <t>El ciudadano viaja hasta la sede, espera y es atendido en ventanilla para presentar su documentación.</t>
  </si>
  <si>
    <t>El organismo procesa la solicitud, emite el documento y lo entrega al ciudadano.</t>
  </si>
  <si>
    <t>Después de recibir el documento, el ciudadano lo usa, y su percepción general del organismo se consolida.</t>
  </si>
  <si>
    <t>Touchpoints</t>
  </si>
  <si>
    <t>Web institucional, boca a boca de vecinos, delegación municipal</t>
  </si>
  <si>
    <t>Teléfono de la sede, redes sociales del organismo</t>
  </si>
  <si>
    <t>Sistema de turnos (telefónico o presencial), sede</t>
  </si>
  <si>
    <t>DNI, formularios, fotocopias</t>
  </si>
  <si>
    <t>Sede central o delegación, sala de espera</t>
  </si>
  <si>
    <t>Ventanilla, personal de mesa de entradas</t>
  </si>
  <si>
    <t>Sistema interno del organismo, archivo/base de datos registral</t>
  </si>
  <si>
    <t>Ventanilla de entrega, documento físico</t>
  </si>
  <si>
    <t>Institución donde presenta el documento (escuela, banco, etc.)</t>
  </si>
  <si>
    <t>Google Maps, encuesta de satisfacción</t>
  </si>
  <si>
    <t>Acciones del ciudadano</t>
  </si>
  <si>
    <t>Busca en la web o pregunta a conocidos qué documentación necesita para el trámite</t>
  </si>
  <si>
    <t>Llama o escribe para confirmar dudas puntuales antes de ir</t>
  </si>
  <si>
    <t>Solicita un turno para iniciar el trámite</t>
  </si>
  <si>
    <t>Reúne la documentación requerida antes de presentarse</t>
  </si>
  <si>
    <t>Viaja hasta la sede (a veces varias horas) y espera su turno</t>
  </si>
  <si>
    <t>Presenta la documentación y es atendido por un empleado</t>
  </si>
  <si>
    <t>Espera a que se procese y emita el documento (5 a 10 días hábiles)</t>
  </si>
  <si>
    <t>Retira el documento, verificando que los datos sean correctos</t>
  </si>
  <si>
    <t>Presenta el documento para el trámite que lo motivó originalmente</t>
  </si>
  <si>
    <t>Deja una reseña o responde una encuesta sobre su experiencia</t>
  </si>
  <si>
    <t>Pensamientos y emociones</t>
  </si>
  <si>
    <t>Incertidumbre: "¿esto que encontré está actualizado?"</t>
  </si>
  <si>
    <t>Necesita confirmar para no perder el viaje en vano</t>
  </si>
  <si>
    <t>Ansiedad si la fecha disponible está muy lejos de cuando necesita el documento</t>
  </si>
  <si>
    <t>Duda sobre si tiene todo lo necesario, dado que la información no siempre es clara</t>
  </si>
  <si>
    <t>Frustración por el tiempo y el costo de viajar, sobre todo si vive lejos</t>
  </si>
  <si>
    <t>Alivio si el trato es cálido y claro, aunque haya tardado en llegar a este punto</t>
  </si>
  <si>
    <t>Espera pasiva, sin visibilidad de en qué etapa está su trámite</t>
  </si>
  <si>
    <t>Expectativa de que todo esté bien después de tanta espera</t>
  </si>
  <si>
    <t>Gran frustración si descubre un error recién en este momento, porque implica reiniciar el trámite</t>
  </si>
  <si>
    <t>Reconoce el buen trato del personal, pero la falta de digitalización pesa más en la valoración general</t>
  </si>
  <si>
    <t>Puntos de dolor</t>
  </si>
  <si>
    <t>Información desactualizada o inconsistente entre lo que dice la web y lo que piden en la sede</t>
  </si>
  <si>
    <t>Consultas por redes sociales sobre requisitos sin respuesta</t>
  </si>
  <si>
    <t>Turnos disponibles a 45 días, insuficientes frente a la demanda en temporada alta</t>
  </si>
  <si>
    <t>Descubre en la sede que le falta un requisito no informado correctamente</t>
  </si>
  <si>
    <t>No existe forma de evitar la presencialidad, incluso para quienes viven a horas de distancia</t>
  </si>
  <si>
    <t>La calidad de la atención depende de la persona que atienda ese día</t>
  </si>
  <si>
    <t>Sin sistema de seguimiento online del estado del trámite</t>
  </si>
  <si>
    <t>Errores en los datos del documento (fecha de nacimiento, nombres mal tipeados)</t>
  </si>
  <si>
    <t>Si el error se detecta tarde, hay que reiniciar todo el proceso de emisión</t>
  </si>
  <si>
    <t>La percepción general del organismo se ve afectada aunque la atención individual haya sido buena</t>
  </si>
  <si>
    <t>Oportunidades</t>
  </si>
  <si>
    <t>Actualizar y centralizar la información de requisitos en un único canal oficial confiable</t>
  </si>
  <si>
    <t>Designar un canal digital de consultas con tiempo de respuesta definido</t>
  </si>
  <si>
    <t>Ampliar la disponibilidad de turnos o habilitar un canal 100% online para iniciar el trámite sin turno presencial</t>
  </si>
  <si>
    <t>Checklist descargable y validado de requisitos según el tipo de trámite</t>
  </si>
  <si>
    <t>Habilitar el inicio del trámite 100% online para reducir o eliminar la necesidad de viajar</t>
  </si>
  <si>
    <t>Sostener y estandarizar la buena atención que ya se percibe, como base de la confianza institucional</t>
  </si>
  <si>
    <t>Implementar seguimiento online del estado del trámite (como un número de pedido)</t>
  </si>
  <si>
    <t>Doble verificación de datos antes de la impresión/emisión final</t>
  </si>
  <si>
    <t>Validación de datos con el ciudadano antes de la emisión final (confirmar datos por escrito)</t>
  </si>
  <si>
    <t>Comunicar avances del proyecto de digitalización para sostener la confianza mientras se implementa</t>
  </si>
  <si>
    <t>Evidencia / Fuente</t>
  </si>
  <si>
    <t>Reseñas sobre web con información vieja y requisitos distintos a los publicados (Hallazgo 4)</t>
  </si>
  <si>
    <t>Comentarios de Instagram sin respuesta sobre requisitos (Hallazgo 4)</t>
  </si>
  <si>
    <t>Reseña sobre turno a 45 días, no llegaba a la fecha necesaria (Hallazgo 2)</t>
  </si>
  <si>
    <t>Reseñas sobre requisitos poco claros (Hallazgo 4)</t>
  </si>
  <si>
    <t>Reseña sobre viajar 3 horas en auto por no poder gestionar el trámite a distancia (Hallazgo 5)</t>
  </si>
  <si>
    <t>Reseñas positivas sobre el trato del personal (Hallazgo 1)</t>
  </si>
  <si>
    <t>Estado actual del proceso: sin opción de seguimiento (contexto del organismo)</t>
  </si>
  <si>
    <t>Reseñas sobre errores de tipeo en la partida (Hallazgo 3)</t>
  </si>
  <si>
    <t>Reseña sobre tener que rehacer todo el trámite por un error de fecha (Hallazgo 3)</t>
  </si>
  <si>
    <t>Cita "el problema es el sistema, no la gente" (Hallazgo 1 / Hallazgo 5)</t>
  </si>
  <si>
    <t>Customer Journey Map (To Be) — Ciudadano que Solicita una Partida de Nacimiento</t>
  </si>
  <si>
    <t>Estado deseado del recorrido una vez digitalizado el trámite | DRCyD (caso ficticio)</t>
  </si>
  <si>
    <t>El ciudadano encuentra información clara, centralizada y actualizada sobre los requisitos, y resuelve sus dudas por un canal digital con respuesta rápida.</t>
  </si>
  <si>
    <t>El ciudadano inicia el trámite 100% online, sin necesidad de turno presencial ni de reunir documentación física innecesaria.</t>
  </si>
  <si>
    <t>El trámite se completa mayormente a distancia; la presencialidad, si es necesaria, es breve y bien coordinada.</t>
  </si>
  <si>
    <t>El ciudadano recibe el documento digital con firma electrónica y código QR de validación, con seguimiento del estado del trámite en todo momento.</t>
  </si>
  <si>
    <t>La confianza institucional se sostiene con datos correctos desde el inicio y una comunicación transparente del avance del proyecto de digitalización.</t>
  </si>
  <si>
    <t>Touchpoints (mejorados)</t>
  </si>
  <si>
    <t>Portal único de trámites del organismo, con requisitos actualizados y validados</t>
  </si>
  <si>
    <t>Canal digital de consultas (WhatsApp oficial o chat del portal)</t>
  </si>
  <si>
    <t>Plataforma online de solicitud, sin necesidad de turno presencial</t>
  </si>
  <si>
    <t>Checklist digital interactivo dentro de la plataforma</t>
  </si>
  <si>
    <t>Sede, con cita puntual y breve si el trámite lo requiere</t>
  </si>
  <si>
    <t>Ventanilla o canal digital, personal capacitado en el nuevo sistema</t>
  </si>
  <si>
    <t>Sistema con seguimiento online del estado del trámite (número de pedido)</t>
  </si>
  <si>
    <t>Documento digital con firma electrónica y código QR de validación</t>
  </si>
  <si>
    <t>Verificación online del documento por parte de terceros (QR)</t>
  </si>
  <si>
    <t>Encuesta de satisfacción digital, canales de reseña</t>
  </si>
  <si>
    <t>Encuentra toda la información necesaria en un solo lugar, sin dudas</t>
  </si>
  <si>
    <t>Recibe respuesta a sus dudas puntuales en pocas horas</t>
  </si>
  <si>
    <t>Inicia el trámite completo desde su casa, cargando la documentación digitalmente</t>
  </si>
  <si>
    <t>Carga la documentación siguiendo un checklist validado, sin sorpresas</t>
  </si>
  <si>
    <t>Si necesita ir, lo hace en un horario acotado y sin esperas largas</t>
  </si>
  <si>
    <t>Es atendido con la misma calidez de siempre, ahora también en el canal digital</t>
  </si>
  <si>
    <t>Consulta el estado de su trámite en cualquier momento desde el portal</t>
  </si>
  <si>
    <t>Recibe el documento digital, lo descarga y verifica sus datos antes de usarlo</t>
  </si>
  <si>
    <t>Presenta el documento digital, que la institución receptora puede validar online</t>
  </si>
  <si>
    <t>Valora la experiencia general, incluyendo la reducción de tiempos y viajes</t>
  </si>
  <si>
    <t>Pensamientos y emociones (esperados)</t>
  </si>
  <si>
    <t>Confianza en la información oficial</t>
  </si>
  <si>
    <t>Tranquilidad para avanzar con el trámite</t>
  </si>
  <si>
    <t>Alivio de no depender de la disponibilidad de turnos presenciales</t>
  </si>
  <si>
    <t>Seguridad de que no le va a faltar nada</t>
  </si>
  <si>
    <t>Sensación de que el viaje, si lo hay, tiene sentido y es breve</t>
  </si>
  <si>
    <t>Mantiene la confianza en el trato humano, incluso con el trámite digitalizado</t>
  </si>
  <si>
    <t>Tranquilidad de tener visibilidad del proceso</t>
  </si>
  <si>
    <t>Confianza en que el documento es válido y los datos son correctos</t>
  </si>
  <si>
    <t>Seguridad de que el documento va a ser aceptado sin objeciones</t>
  </si>
  <si>
    <t>Percepción de un organismo que mejora y escucha</t>
  </si>
  <si>
    <t>Mejora implementada</t>
  </si>
  <si>
    <t>Actualización y centralización de la información de requisitos en el portal único de trámites</t>
  </si>
  <si>
    <t>Canal digital de consultas con tiempo de respuesta definido (SLA)</t>
  </si>
  <si>
    <t>Habilitación del inicio del trámite 100% online</t>
  </si>
  <si>
    <t>Checklist digital interactivo según el tipo de trámite, con validación automática de archivos</t>
  </si>
  <si>
    <t>Reducción de los pasos que requieren presencialidad al mínimo indispensable</t>
  </si>
  <si>
    <t>Capacitación del personal para sostener la calidad de atención en los nuevos canales digitales</t>
  </si>
  <si>
    <t>Implementación de seguimiento online del estado del trámite</t>
  </si>
  <si>
    <t>Doble verificación de datos con el ciudadano antes de la emisión final + firma digital y QR de validación</t>
  </si>
  <si>
    <t>Validación online del documento mediante código QR, interoperable con otros organismos</t>
  </si>
  <si>
    <t>Comunicación activa de los avances del proyecto de digitalización y canal de feedback ciudadano</t>
  </si>
  <si>
    <t>Resultado esperado / KPI</t>
  </si>
  <si>
    <t>% de consultas telefónicas por dudas de requisitos (objetivo: reducción)</t>
  </si>
  <si>
    <t>Tiempo de respuesta promedio a consultas digitales</t>
  </si>
  <si>
    <t>% de trámites iniciados online (objetivo: mayoría del volumen)</t>
  </si>
  <si>
    <t>% de trámites rechazados por documentación incompleta (objetivo: reducción)</t>
  </si>
  <si>
    <t>% de trámites que no requieren presencialidad</t>
  </si>
  <si>
    <t>Nivel de satisfacción con la atención (encuesta), en canal presencial y digital</t>
  </si>
  <si>
    <t>Tiempo promedio de emisión (objetivo: menor a 5 días hábiles)</t>
  </si>
  <si>
    <t>Tasa de errores en documentos emitidos (objetivo: reducción significativa)</t>
  </si>
  <si>
    <t>% de documentos digitales aceptados sin observaciones por terceros</t>
  </si>
  <si>
    <t>NPS / CSAT del trámite digitalizado vs. el proceso presencial anterior</t>
  </si>
  <si>
    <t>Vinculación con hallazgo (As Is)</t>
  </si>
  <si>
    <t>Resuelve el Hallazgo 4 (información poco clara o desactualizada)</t>
  </si>
  <si>
    <t>Resuelve los Hallazgos 2 y 5 (turnos escasos / falta de canal digital)</t>
  </si>
  <si>
    <t>Resuelve el Hallazgo 5 (falta de un canal 100% digital)</t>
  </si>
  <si>
    <t>Refuerza el Hallazgo 1 (buen trato del personal)</t>
  </si>
  <si>
    <t>Mejora el tiempo total del trámite (objetivo del proyecto)</t>
  </si>
  <si>
    <t>Resuelve el Hallazgo 3 (errores en los datos del documento)</t>
  </si>
  <si>
    <t>Resuelve el Hallazgo 3 y da sostenibilidad a la digitalización</t>
  </si>
  <si>
    <t>Refuerza el Hallazgo 1 y da cierre al Hallazgo 5</t>
  </si>
  <si>
    <t>Service Blueprint — Ciudadano que Solicita una Partida de Nacimiento</t>
  </si>
  <si>
    <t>Complementa el Customer Journey Map con la vista interna del servicio: frontstage, backstage y procesos de soporte | DRCyD (caso ficticio)</t>
  </si>
  <si>
    <t>Evidencia física</t>
  </si>
  <si>
    <t>Portal web institucional, folletería en la sede</t>
  </si>
  <si>
    <t>Redes sociales del organismo, línea telefónica</t>
  </si>
  <si>
    <t>Sistema de turnos, sede</t>
  </si>
  <si>
    <t>Formularios, checklist de requisitos (si existe)</t>
  </si>
  <si>
    <t>Sede, sala de espera, sistema de numeración</t>
  </si>
  <si>
    <t>Ventanilla, documentación presentada</t>
  </si>
  <si>
    <t>Sistema interno, archivo registral</t>
  </si>
  <si>
    <t>Documento físico, ventanilla de entrega</t>
  </si>
  <si>
    <t>Documento presentado ante terceros (escuela, banco, etc.)</t>
  </si>
  <si>
    <t>Reseña en Google Maps, encuesta de satisfacción</t>
  </si>
  <si>
    <t>▬▬▬  LÍNEA DE INTERACCIÓN  ▬▬▬</t>
  </si>
  <si>
    <t>Frontstage
(personal de contacto directo)</t>
  </si>
  <si>
    <t>Sin interacción humana directa en este momento</t>
  </si>
  <si>
    <t>Personal de atención telefónica o community manager responde consultas</t>
  </si>
  <si>
    <t>Personal de mesa de entradas asigna el turno</t>
  </si>
  <si>
    <t>Personal de recepción organiza la espera</t>
  </si>
  <si>
    <t>Empleado de mesa de entradas verifica la documentación y atiende al ciudadano</t>
  </si>
  <si>
    <t>Sin interacción directa con el ciudadano en este momento</t>
  </si>
  <si>
    <t>Empleado entrega el documento y responde consultas finales</t>
  </si>
  <si>
    <t>Sin interacción directa del organismo en este momento</t>
  </si>
  <si>
    <t>Sin respuesta institucional sistemática a las reseñas (actualmente)</t>
  </si>
  <si>
    <t>▬▬▬  LÍNEA DE VISIBILIDAD  ▬▬▬</t>
  </si>
  <si>
    <t>Backstage
(personal sin contacto directo)</t>
  </si>
  <si>
    <t>Actualización de contenidos del portal, coordinación entre delegaciones para unificar requisitos</t>
  </si>
  <si>
    <t>Gestión de contenidos de redes, capacitación del personal de atención telefónica</t>
  </si>
  <si>
    <t>Gestión de la agenda de turnos según capacidad operativa de cada delegación</t>
  </si>
  <si>
    <t>Definición y actualización de los requisitos según normativa vigente</t>
  </si>
  <si>
    <t>Gestión de la afluencia de público según horarios de mayor demanda</t>
  </si>
  <si>
    <t>Carga de datos en el sistema registral</t>
  </si>
  <si>
    <t>Procesamiento administrativo y validación de los datos para la emisión del documento</t>
  </si>
  <si>
    <t>Impresión y control de calidad del documento antes de la entrega</t>
  </si>
  <si>
    <t>Sin proceso interno relevante (el documento ya fue emitido)</t>
  </si>
  <si>
    <t>Sin proceso de gestión de reputación online sistematizado</t>
  </si>
  <si>
    <t>▬▬▬  LÍNEA DE INTERACCIÓN INTERNA  ▬▬▬</t>
  </si>
  <si>
    <t>Procesos de soporte
(sistemas y proveedores)</t>
  </si>
  <si>
    <t>CMS del portal de trámites, mesa de ayuda telefónica</t>
  </si>
  <si>
    <t>Sistema de mensajería / redes sociales institucionales</t>
  </si>
  <si>
    <t>Sistema de gestión de turnos</t>
  </si>
  <si>
    <t>Normativa del Registro Civil, formularios oficiales</t>
  </si>
  <si>
    <t>Sistema de gestión de filas/turnos en sede</t>
  </si>
  <si>
    <t>Sistema registral interno, base de datos del Registro Civil</t>
  </si>
  <si>
    <t>Sistema registral, archivo histórico de actas</t>
  </si>
  <si>
    <t>Sistema de impresión, checklist de control de calidad (si existe)</t>
  </si>
  <si>
    <t>Google Business Profile (si existe), sistema de encuestas</t>
  </si>
  <si>
    <t>Punto de fallo potencial (riesgo)</t>
  </si>
  <si>
    <t>Información desactualizada entre delegaciones y el portal central (Hallazgo 4)</t>
  </si>
  <si>
    <t>Consultas por redes sin respuesta (Hallazgo 4)</t>
  </si>
  <si>
    <t>Capacidad de turnos insuficiente frente a la demanda estacional (Hallazgo 2)</t>
  </si>
  <si>
    <t>Requisitos mal comunicados generan trámites incompletos (Hallazgo 4)</t>
  </si>
  <si>
    <t>Viajes largos para quienes viven lejos de la sede, sin alternativa a distancia (Hallazgo 5)</t>
  </si>
  <si>
    <t>La calidad de la atención depende de la persona que atienda ese día (Hallazgo 1)</t>
  </si>
  <si>
    <t>Sin visibilidad del estado del trámite para el ciudadano durante este proceso</t>
  </si>
  <si>
    <t>Errores de tipeo en los datos del documento emitido (Hallazgo 3)</t>
  </si>
  <si>
    <t>Si el error se detecta tarde, el ciudadano debe reiniciar todo el trámite de emisión (Hallazgo 3)</t>
  </si>
  <si>
    <t>Sin protocolo de respuesta, se pierde la oportunidad de mostrar mejoras y sostener la confianza institucional (Hallazgo 1 / Hallazgo 5)</t>
  </si>
  <si>
    <t>Referencias: por encima de la línea de interacción, lo que el ciudadano hace y ve (front stage). Entre la línea de visibilidad y la de interacción interna, lo que hace el personal sin contacto directo (back stage). Debajo, los sistemas y proveedores que sostienen el servicio.</t>
  </si>
  <si>
    <t>Síntesis de Hallazgos, Insights y Priorización</t>
  </si>
  <si>
    <t>DRCyD (caso ficticio) — misma metodología aplicada a Clínica Bermejo, Café Aurora y Hotel Costa Azul</t>
  </si>
  <si>
    <t>Hallazgo</t>
  </si>
  <si>
    <t>Insight</t>
  </si>
  <si>
    <t>Etapa del CJM más afectada</t>
  </si>
  <si>
    <t>Impacto (Alto/Medio/Bajo)</t>
  </si>
  <si>
    <t>Prioridad sugerida</t>
  </si>
  <si>
    <t>La percepción positiva de la atención humana coexiste con una fuerte frustración por las limitaciones del sistema, lo que indica que el problema es estructural, no de las personas.</t>
  </si>
  <si>
    <t>Atención en ventanilla / verificación</t>
  </si>
  <si>
    <t>Alto</t>
  </si>
  <si>
    <t>Media</t>
  </si>
  <si>
    <t>La capacidad operativa actual no acompaña los picos de demanda estacional (inicio de clases), afectando a quienes tienen plazos externos que cumplir.</t>
  </si>
  <si>
    <t>Solicitud de turno</t>
  </si>
  <si>
    <t>Alta</t>
  </si>
  <si>
    <t>La falta de una instancia de verificación con el ciudadano antes de la emisión final genera un costo alto y evitable, tanto para el ciudadano como para el organismo.</t>
  </si>
  <si>
    <t>Entrega del documento</t>
  </si>
  <si>
    <t>La falta de un canal único y confiable de información genera viajes en vano y sobrecarga los canales de consulta telefónica.</t>
  </si>
  <si>
    <t>Búsqueda de información</t>
  </si>
  <si>
    <t>Medio</t>
  </si>
  <si>
    <t>Esta es la causa raíz del proyecto de digitalización: eliminar la presencialidad innecesaria reduciría drásticamente el costo del trámite para el ciudadano, especialmente en el interior de la provincia.</t>
  </si>
  <si>
    <t>Llegada y espera en la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</si>
</sst>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0.0%"/>
    <numFmt numFmtId="167" formatCode="0%;\-0%;&quot;Cargar datos&quot;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7F7F7F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i/>
      <sz val="13"/>
      <color rgb="FF1F3864"/>
      <name val="Arial"/>
      <charset val="1"/>
    </font>
    <font>
      <b/>
      <i/>
      <sz val="9"/>
      <color rgb="FFBF8F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i/>
      <sz val="10"/>
      <color rgb="FF1F3864"/>
      <name val="Arial"/>
      <charset val="1"/>
    </font>
    <font>
      <b/>
      <i/>
      <sz val="9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CE6F1"/>
      </patternFill>
    </fill>
    <fill>
      <patternFill patternType="solid">
        <fgColor rgb="FFF8CBAD"/>
        <bgColor rgb="FFFFF2CC"/>
      </patternFill>
    </fill>
    <fill>
      <patternFill patternType="solid">
        <fgColor rgb="FFF2F2F2"/>
        <bgColor rgb="FFEDF2FA"/>
      </patternFill>
    </fill>
    <fill>
      <patternFill patternType="solid">
        <fgColor rgb="FFDCE6F1"/>
        <bgColor rgb="FFEDF2FA"/>
      </patternFill>
    </fill>
    <fill>
      <patternFill patternType="solid">
        <fgColor rgb="FFFFF2CC"/>
        <bgColor rgb="FFF2F2F2"/>
      </patternFill>
    </fill>
    <fill>
      <patternFill patternType="solid">
        <fgColor rgb="FF2E5395"/>
        <bgColor rgb="FF3D6DB0"/>
      </patternFill>
    </fill>
    <fill>
      <patternFill patternType="solid">
        <fgColor rgb="FF3D6DB0"/>
        <bgColor rgb="FF2E5395"/>
      </patternFill>
    </fill>
    <fill>
      <patternFill patternType="solid">
        <fgColor rgb="FF5A85BF"/>
        <bgColor rgb="FF3D6DB0"/>
      </patternFill>
    </fill>
    <fill>
      <patternFill patternType="solid">
        <fgColor rgb="FF7A9FCE"/>
        <bgColor rgb="FF9AB9DD"/>
      </patternFill>
    </fill>
    <fill>
      <patternFill patternType="solid">
        <fgColor rgb="FF9AB9DD"/>
        <bgColor rgb="FFBFBFBF"/>
      </patternFill>
    </fill>
    <fill>
      <patternFill patternType="solid">
        <fgColor rgb="FFC9A227"/>
        <bgColor rgb="FFBF8F00"/>
      </patternFill>
    </fill>
    <fill>
      <patternFill patternType="solid">
        <fgColor rgb="FFEDF2FA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0" fillId="9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167" fontId="3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008080"/>
      <rgbColor rgb="FFBFBFBF"/>
      <rgbColor rgb="FF7F7F7F"/>
      <rgbColor rgb="FF7A9FCE"/>
      <rgbColor rgb="FF993366"/>
      <rgbColor rgb="FFFFF2CC"/>
      <rgbColor rgb="FFED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0B4"/>
      <rgbColor rgb="FFF2F2F2"/>
      <rgbColor rgb="FF9AB9DD"/>
      <rgbColor rgb="FFFF99CC"/>
      <rgbColor rgb="FFCC99FF"/>
      <rgbColor rgb="FFF8CBAD"/>
      <rgbColor rgb="FF3366FF"/>
      <rgbColor rgb="FF33CCCC"/>
      <rgbColor rgb="FF99CC00"/>
      <rgbColor rgb="FFFFCC00"/>
      <rgbColor rgb="FFC9A227"/>
      <rgbColor rgb="FFFF6600"/>
      <rgbColor rgb="FF3D6DB0"/>
      <rgbColor rgb="FF5A85BF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22" customWidth="1"/>
    <col min="2" max="3" width="46" customWidth="1"/>
    <col min="4" max="6" width="14" customWidth="1"/>
  </cols>
  <sheetData>
    <row r="1" spans="1:6" ht="25.5" customHeight="1" x14ac:dyDescent="0.3">
      <c r="A1" s="14" t="s">
        <v>0</v>
      </c>
      <c r="B1" s="14"/>
      <c r="C1" s="14"/>
      <c r="D1" s="14"/>
      <c r="E1" s="14"/>
      <c r="F1" s="14"/>
    </row>
    <row r="2" spans="1:6" ht="15.75" customHeight="1" x14ac:dyDescent="0.3">
      <c r="A2" s="13" t="s">
        <v>1</v>
      </c>
      <c r="B2" s="13"/>
      <c r="C2" s="13"/>
      <c r="D2" s="13"/>
      <c r="E2" s="13"/>
      <c r="F2" s="13"/>
    </row>
    <row r="4" spans="1:6" ht="15.6" x14ac:dyDescent="0.3">
      <c r="A4" s="15" t="s">
        <v>2</v>
      </c>
    </row>
    <row r="5" spans="1:6" x14ac:dyDescent="0.3">
      <c r="A5" s="16" t="s">
        <v>3</v>
      </c>
      <c r="B5" s="16" t="s">
        <v>4</v>
      </c>
      <c r="C5" s="16" t="s">
        <v>5</v>
      </c>
    </row>
    <row r="6" spans="1:6" ht="54.75" customHeight="1" x14ac:dyDescent="0.3">
      <c r="A6" s="17" t="s">
        <v>6</v>
      </c>
      <c r="B6" s="17" t="s">
        <v>7</v>
      </c>
      <c r="C6" s="17" t="s">
        <v>8</v>
      </c>
    </row>
    <row r="7" spans="1:6" ht="54.75" customHeight="1" x14ac:dyDescent="0.3">
      <c r="A7" s="17" t="s">
        <v>9</v>
      </c>
      <c r="B7" s="17" t="s">
        <v>10</v>
      </c>
      <c r="C7" s="17" t="s">
        <v>11</v>
      </c>
    </row>
    <row r="8" spans="1:6" ht="54.75" customHeight="1" x14ac:dyDescent="0.3">
      <c r="A8" s="17" t="s">
        <v>12</v>
      </c>
      <c r="B8" s="17" t="s">
        <v>13</v>
      </c>
      <c r="C8" s="17" t="s">
        <v>14</v>
      </c>
    </row>
    <row r="9" spans="1:6" ht="54.75" customHeight="1" x14ac:dyDescent="0.3">
      <c r="A9" s="17" t="s">
        <v>15</v>
      </c>
      <c r="B9" s="17" t="s">
        <v>16</v>
      </c>
      <c r="C9" s="17" t="s">
        <v>17</v>
      </c>
    </row>
    <row r="10" spans="1:6" ht="54.75" customHeight="1" x14ac:dyDescent="0.3">
      <c r="A10" s="17" t="s">
        <v>18</v>
      </c>
      <c r="B10" s="17" t="s">
        <v>19</v>
      </c>
      <c r="C10" s="17" t="s">
        <v>20</v>
      </c>
    </row>
    <row r="11" spans="1:6" ht="54.75" customHeight="1" x14ac:dyDescent="0.3">
      <c r="A11" s="17" t="s">
        <v>21</v>
      </c>
      <c r="B11" s="17" t="s">
        <v>22</v>
      </c>
      <c r="C11" s="17" t="s">
        <v>23</v>
      </c>
    </row>
    <row r="12" spans="1:6" ht="54.75" customHeight="1" x14ac:dyDescent="0.3">
      <c r="A12" s="17" t="s">
        <v>24</v>
      </c>
      <c r="B12" s="17" t="s">
        <v>25</v>
      </c>
      <c r="C12" s="17" t="s">
        <v>26</v>
      </c>
    </row>
    <row r="13" spans="1:6" ht="54.75" customHeight="1" x14ac:dyDescent="0.3">
      <c r="A13" s="17" t="s">
        <v>27</v>
      </c>
      <c r="B13" s="17" t="s">
        <v>28</v>
      </c>
      <c r="C13" s="17" t="s">
        <v>29</v>
      </c>
    </row>
    <row r="14" spans="1:6" ht="54.75" customHeight="1" x14ac:dyDescent="0.3">
      <c r="A14" s="17" t="s">
        <v>30</v>
      </c>
      <c r="B14" s="17" t="s">
        <v>31</v>
      </c>
      <c r="C14" s="17" t="s">
        <v>32</v>
      </c>
    </row>
    <row r="16" spans="1:6" x14ac:dyDescent="0.3">
      <c r="A16" s="18" t="s">
        <v>33</v>
      </c>
    </row>
    <row r="17" spans="1:6" x14ac:dyDescent="0.3">
      <c r="A17" s="19" t="s">
        <v>34</v>
      </c>
      <c r="B17" s="12" t="s">
        <v>35</v>
      </c>
      <c r="C17" s="12"/>
      <c r="D17" s="12"/>
      <c r="E17" s="12"/>
    </row>
    <row r="18" spans="1:6" x14ac:dyDescent="0.3">
      <c r="A18" s="20" t="s">
        <v>34</v>
      </c>
      <c r="B18" s="12" t="s">
        <v>36</v>
      </c>
      <c r="C18" s="12"/>
      <c r="D18" s="12"/>
      <c r="E18" s="12"/>
    </row>
    <row r="19" spans="1:6" x14ac:dyDescent="0.3">
      <c r="A19" s="21" t="s">
        <v>34</v>
      </c>
      <c r="B19" s="12" t="s">
        <v>37</v>
      </c>
      <c r="C19" s="12"/>
      <c r="D19" s="12"/>
      <c r="E19" s="12"/>
    </row>
    <row r="21" spans="1:6" ht="49.5" customHeight="1" x14ac:dyDescent="0.3">
      <c r="A21" s="11" t="s">
        <v>38</v>
      </c>
      <c r="B21" s="11"/>
      <c r="C21" s="11"/>
      <c r="D21" s="11"/>
      <c r="E21" s="11"/>
      <c r="F21" s="11"/>
    </row>
    <row r="22" spans="1:6" x14ac:dyDescent="0.3">
      <c r="A22" s="11"/>
      <c r="B22" s="11"/>
      <c r="C22" s="11"/>
      <c r="D22" s="11"/>
      <c r="E22" s="11"/>
      <c r="F22" s="11"/>
    </row>
    <row r="23" spans="1:6" x14ac:dyDescent="0.3">
      <c r="A23" s="11"/>
      <c r="B23" s="11"/>
      <c r="C23" s="11"/>
      <c r="D23" s="11"/>
      <c r="E23" s="11"/>
      <c r="F23" s="11"/>
    </row>
  </sheetData>
  <mergeCells count="6">
    <mergeCell ref="A21:F23"/>
    <mergeCell ref="A1:F1"/>
    <mergeCell ref="A2:F2"/>
    <mergeCell ref="B17:E17"/>
    <mergeCell ref="B18:E18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showGridLines="0" topLeftCell="A46" zoomScaleNormal="100" workbookViewId="0">
      <selection activeCell="A4" sqref="A4:F4"/>
    </sheetView>
  </sheetViews>
  <sheetFormatPr baseColWidth="10" defaultColWidth="8.6640625" defaultRowHeight="14.4" x14ac:dyDescent="0.3"/>
  <cols>
    <col min="1" max="1" width="26" customWidth="1"/>
    <col min="2" max="6" width="22" customWidth="1"/>
  </cols>
  <sheetData>
    <row r="1" spans="1:6" ht="25.5" customHeight="1" x14ac:dyDescent="0.3">
      <c r="A1" s="14" t="s">
        <v>39</v>
      </c>
      <c r="B1" s="14"/>
      <c r="C1" s="14"/>
      <c r="D1" s="14"/>
      <c r="E1" s="14"/>
      <c r="F1" s="14"/>
    </row>
    <row r="2" spans="1:6" ht="15.75" customHeight="1" x14ac:dyDescent="0.3">
      <c r="A2" s="13" t="s">
        <v>40</v>
      </c>
      <c r="B2" s="13"/>
      <c r="C2" s="13"/>
      <c r="D2" s="13"/>
      <c r="E2" s="13"/>
      <c r="F2" s="13"/>
    </row>
    <row r="4" spans="1:6" ht="27.75" customHeight="1" x14ac:dyDescent="0.3">
      <c r="A4" s="10"/>
      <c r="B4" s="10"/>
      <c r="C4" s="10"/>
      <c r="D4" s="10"/>
      <c r="E4" s="10"/>
      <c r="F4" s="10"/>
    </row>
    <row r="6" spans="1:6" ht="21.75" customHeight="1" x14ac:dyDescent="0.3">
      <c r="A6" s="9" t="s">
        <v>41</v>
      </c>
      <c r="B6" s="9"/>
      <c r="C6" s="9"/>
      <c r="D6" s="9"/>
      <c r="E6" s="9"/>
      <c r="F6" s="9"/>
    </row>
    <row r="7" spans="1:6" ht="33.75" customHeight="1" x14ac:dyDescent="0.3">
      <c r="A7" s="23" t="s">
        <v>42</v>
      </c>
      <c r="B7" s="8" t="s">
        <v>40</v>
      </c>
      <c r="C7" s="8"/>
      <c r="D7" s="8"/>
      <c r="E7" s="8"/>
      <c r="F7" s="8"/>
    </row>
    <row r="8" spans="1:6" ht="33.75" customHeight="1" x14ac:dyDescent="0.3">
      <c r="A8" s="23" t="s">
        <v>43</v>
      </c>
      <c r="B8" s="8" t="s">
        <v>44</v>
      </c>
      <c r="C8" s="8"/>
      <c r="D8" s="8"/>
      <c r="E8" s="8"/>
      <c r="F8" s="8"/>
    </row>
    <row r="9" spans="1:6" ht="33.75" customHeight="1" x14ac:dyDescent="0.3">
      <c r="A9" s="23" t="s">
        <v>45</v>
      </c>
      <c r="B9" s="8" t="s">
        <v>46</v>
      </c>
      <c r="C9" s="8"/>
      <c r="D9" s="8"/>
      <c r="E9" s="8"/>
      <c r="F9" s="8"/>
    </row>
    <row r="10" spans="1:6" ht="33.75" customHeight="1" x14ac:dyDescent="0.3">
      <c r="A10" s="23" t="s">
        <v>47</v>
      </c>
      <c r="B10" s="8" t="s">
        <v>48</v>
      </c>
      <c r="C10" s="8"/>
      <c r="D10" s="8"/>
      <c r="E10" s="8"/>
      <c r="F10" s="8"/>
    </row>
    <row r="11" spans="1:6" ht="33.75" customHeight="1" x14ac:dyDescent="0.3">
      <c r="A11" s="23" t="s">
        <v>49</v>
      </c>
      <c r="B11" s="8" t="s">
        <v>50</v>
      </c>
      <c r="C11" s="8"/>
      <c r="D11" s="8"/>
      <c r="E11" s="8"/>
      <c r="F11" s="8"/>
    </row>
    <row r="13" spans="1:6" ht="21.75" customHeight="1" x14ac:dyDescent="0.3">
      <c r="A13" s="9" t="s">
        <v>51</v>
      </c>
      <c r="B13" s="9"/>
      <c r="C13" s="9"/>
      <c r="D13" s="9"/>
      <c r="E13" s="9"/>
      <c r="F13" s="9"/>
    </row>
    <row r="14" spans="1:6" ht="19.5" customHeight="1" x14ac:dyDescent="0.3">
      <c r="A14" s="8" t="s">
        <v>52</v>
      </c>
      <c r="B14" s="8"/>
      <c r="C14" s="8"/>
      <c r="D14" s="8"/>
      <c r="E14" s="8"/>
      <c r="F14" s="8"/>
    </row>
    <row r="15" spans="1:6" ht="19.5" customHeight="1" x14ac:dyDescent="0.3">
      <c r="A15" s="8" t="s">
        <v>53</v>
      </c>
      <c r="B15" s="8"/>
      <c r="C15" s="8"/>
      <c r="D15" s="8"/>
      <c r="E15" s="8"/>
      <c r="F15" s="8"/>
    </row>
    <row r="16" spans="1:6" ht="19.5" customHeight="1" x14ac:dyDescent="0.3">
      <c r="A16" s="8" t="s">
        <v>54</v>
      </c>
      <c r="B16" s="8"/>
      <c r="C16" s="8"/>
      <c r="D16" s="8"/>
      <c r="E16" s="8"/>
      <c r="F16" s="8"/>
    </row>
    <row r="17" spans="1:6" ht="19.5" customHeight="1" x14ac:dyDescent="0.3">
      <c r="A17" s="8" t="s">
        <v>55</v>
      </c>
      <c r="B17" s="8"/>
      <c r="C17" s="8"/>
      <c r="D17" s="8"/>
      <c r="E17" s="8"/>
      <c r="F17" s="8"/>
    </row>
    <row r="19" spans="1:6" ht="33.75" customHeight="1" x14ac:dyDescent="0.3">
      <c r="A19" s="7" t="s">
        <v>56</v>
      </c>
      <c r="B19" s="7"/>
      <c r="C19" s="7"/>
      <c r="D19" s="7"/>
      <c r="E19" s="7"/>
      <c r="F19" s="7"/>
    </row>
    <row r="21" spans="1:6" ht="21.75" customHeight="1" x14ac:dyDescent="0.3">
      <c r="A21" s="9" t="s">
        <v>57</v>
      </c>
      <c r="B21" s="9"/>
      <c r="C21" s="9"/>
      <c r="D21" s="9"/>
      <c r="E21" s="9"/>
      <c r="F21" s="9"/>
    </row>
    <row r="22" spans="1:6" ht="31.5" customHeight="1" x14ac:dyDescent="0.3">
      <c r="A22" s="23" t="s">
        <v>58</v>
      </c>
      <c r="B22" s="8" t="s">
        <v>59</v>
      </c>
      <c r="C22" s="8"/>
      <c r="D22" s="8"/>
      <c r="E22" s="8"/>
      <c r="F22" s="8"/>
    </row>
    <row r="23" spans="1:6" ht="31.5" customHeight="1" x14ac:dyDescent="0.3">
      <c r="A23" s="23" t="s">
        <v>60</v>
      </c>
      <c r="B23" s="8" t="s">
        <v>61</v>
      </c>
      <c r="C23" s="8"/>
      <c r="D23" s="8"/>
      <c r="E23" s="8"/>
      <c r="F23" s="8"/>
    </row>
    <row r="24" spans="1:6" ht="31.5" customHeight="1" x14ac:dyDescent="0.3">
      <c r="A24" s="23" t="s">
        <v>62</v>
      </c>
      <c r="B24" s="8" t="s">
        <v>63</v>
      </c>
      <c r="C24" s="8"/>
      <c r="D24" s="8"/>
      <c r="E24" s="8"/>
      <c r="F24" s="8"/>
    </row>
    <row r="25" spans="1:6" ht="31.5" customHeight="1" x14ac:dyDescent="0.3">
      <c r="A25" s="23" t="s">
        <v>64</v>
      </c>
      <c r="B25" s="8" t="s">
        <v>65</v>
      </c>
      <c r="C25" s="8"/>
      <c r="D25" s="8"/>
      <c r="E25" s="8"/>
      <c r="F25" s="8"/>
    </row>
    <row r="26" spans="1:6" ht="31.5" customHeight="1" x14ac:dyDescent="0.3">
      <c r="A26" s="23" t="s">
        <v>66</v>
      </c>
      <c r="B26" s="8" t="s">
        <v>67</v>
      </c>
      <c r="C26" s="8"/>
      <c r="D26" s="8"/>
      <c r="E26" s="8"/>
      <c r="F26" s="8"/>
    </row>
    <row r="27" spans="1:6" ht="31.5" customHeight="1" x14ac:dyDescent="0.3">
      <c r="A27" s="23" t="s">
        <v>68</v>
      </c>
      <c r="B27" s="8" t="s">
        <v>69</v>
      </c>
      <c r="C27" s="8"/>
      <c r="D27" s="8"/>
      <c r="E27" s="8"/>
      <c r="F27" s="8"/>
    </row>
    <row r="29" spans="1:6" ht="21.75" customHeight="1" x14ac:dyDescent="0.3">
      <c r="A29" s="9" t="s">
        <v>70</v>
      </c>
      <c r="B29" s="9"/>
      <c r="C29" s="9"/>
      <c r="D29" s="9"/>
      <c r="E29" s="9"/>
      <c r="F29" s="9"/>
    </row>
    <row r="30" spans="1:6" ht="19.5" customHeight="1" x14ac:dyDescent="0.3">
      <c r="A30" s="8" t="s">
        <v>71</v>
      </c>
      <c r="B30" s="8"/>
      <c r="C30" s="8"/>
      <c r="D30" s="8"/>
      <c r="E30" s="8"/>
      <c r="F30" s="8"/>
    </row>
    <row r="31" spans="1:6" ht="19.5" customHeight="1" x14ac:dyDescent="0.3">
      <c r="A31" s="8" t="s">
        <v>72</v>
      </c>
      <c r="B31" s="8"/>
      <c r="C31" s="8"/>
      <c r="D31" s="8"/>
      <c r="E31" s="8"/>
      <c r="F31" s="8"/>
    </row>
    <row r="32" spans="1:6" ht="19.5" customHeight="1" x14ac:dyDescent="0.3">
      <c r="A32" s="8" t="s">
        <v>73</v>
      </c>
      <c r="B32" s="8"/>
      <c r="C32" s="8"/>
      <c r="D32" s="8"/>
      <c r="E32" s="8"/>
      <c r="F32" s="8"/>
    </row>
    <row r="33" spans="1:6" ht="19.5" customHeight="1" x14ac:dyDescent="0.3">
      <c r="A33" s="8" t="s">
        <v>74</v>
      </c>
      <c r="B33" s="8"/>
      <c r="C33" s="8"/>
      <c r="D33" s="8"/>
      <c r="E33" s="8"/>
      <c r="F33" s="8"/>
    </row>
    <row r="35" spans="1:6" ht="21.75" customHeight="1" x14ac:dyDescent="0.3">
      <c r="A35" s="9" t="s">
        <v>75</v>
      </c>
      <c r="B35" s="9"/>
      <c r="C35" s="9"/>
      <c r="D35" s="9"/>
      <c r="E35" s="9"/>
      <c r="F35" s="9"/>
    </row>
    <row r="36" spans="1:6" ht="19.5" customHeight="1" x14ac:dyDescent="0.3">
      <c r="A36" s="8" t="s">
        <v>76</v>
      </c>
      <c r="B36" s="8"/>
      <c r="C36" s="8"/>
      <c r="D36" s="8"/>
      <c r="E36" s="8"/>
      <c r="F36" s="8"/>
    </row>
    <row r="37" spans="1:6" ht="19.5" customHeight="1" x14ac:dyDescent="0.3">
      <c r="A37" s="8" t="s">
        <v>77</v>
      </c>
      <c r="B37" s="8"/>
      <c r="C37" s="8"/>
      <c r="D37" s="8"/>
      <c r="E37" s="8"/>
      <c r="F37" s="8"/>
    </row>
    <row r="38" spans="1:6" ht="19.5" customHeight="1" x14ac:dyDescent="0.3">
      <c r="A38" s="8" t="s">
        <v>78</v>
      </c>
      <c r="B38" s="8"/>
      <c r="C38" s="8"/>
      <c r="D38" s="8"/>
      <c r="E38" s="8"/>
      <c r="F38" s="8"/>
    </row>
    <row r="39" spans="1:6" ht="19.5" customHeight="1" x14ac:dyDescent="0.3">
      <c r="A39" s="8" t="s">
        <v>79</v>
      </c>
      <c r="B39" s="8"/>
      <c r="C39" s="8"/>
      <c r="D39" s="8"/>
      <c r="E39" s="8"/>
      <c r="F39" s="8"/>
    </row>
    <row r="40" spans="1:6" ht="19.5" customHeight="1" x14ac:dyDescent="0.3">
      <c r="A40" s="8" t="s">
        <v>80</v>
      </c>
      <c r="B40" s="8"/>
      <c r="C40" s="8"/>
      <c r="D40" s="8"/>
      <c r="E40" s="8"/>
      <c r="F40" s="8"/>
    </row>
    <row r="42" spans="1:6" ht="21.75" customHeight="1" x14ac:dyDescent="0.3">
      <c r="A42" s="9" t="s">
        <v>81</v>
      </c>
      <c r="B42" s="9"/>
      <c r="C42" s="9"/>
      <c r="D42" s="9"/>
      <c r="E42" s="9"/>
      <c r="F42" s="9"/>
    </row>
    <row r="43" spans="1:6" ht="24" customHeight="1" x14ac:dyDescent="0.3">
      <c r="A43" s="8" t="s">
        <v>82</v>
      </c>
      <c r="B43" s="8"/>
      <c r="C43" s="8"/>
      <c r="D43" s="8"/>
      <c r="E43" s="8"/>
      <c r="F43" s="8"/>
    </row>
    <row r="44" spans="1:6" ht="24" customHeight="1" x14ac:dyDescent="0.3">
      <c r="A44" s="8" t="s">
        <v>83</v>
      </c>
      <c r="B44" s="8"/>
      <c r="C44" s="8"/>
      <c r="D44" s="8"/>
      <c r="E44" s="8"/>
      <c r="F44" s="8"/>
    </row>
    <row r="45" spans="1:6" ht="24" customHeight="1" x14ac:dyDescent="0.3">
      <c r="A45" s="8" t="s">
        <v>84</v>
      </c>
      <c r="B45" s="8"/>
      <c r="C45" s="8"/>
      <c r="D45" s="8"/>
      <c r="E45" s="8"/>
      <c r="F45" s="8"/>
    </row>
    <row r="46" spans="1:6" ht="24" customHeight="1" x14ac:dyDescent="0.3">
      <c r="A46" s="8" t="s">
        <v>85</v>
      </c>
      <c r="B46" s="8"/>
      <c r="C46" s="8"/>
      <c r="D46" s="8"/>
      <c r="E46" s="8"/>
      <c r="F46" s="8"/>
    </row>
    <row r="48" spans="1:6" ht="21.75" customHeight="1" x14ac:dyDescent="0.3">
      <c r="A48" s="9" t="s">
        <v>86</v>
      </c>
      <c r="B48" s="9"/>
      <c r="C48" s="9"/>
      <c r="D48" s="9"/>
      <c r="E48" s="9"/>
      <c r="F48" s="9"/>
    </row>
    <row r="49" spans="1:6" ht="19.5" customHeight="1" x14ac:dyDescent="0.3">
      <c r="A49" s="8" t="s">
        <v>87</v>
      </c>
      <c r="B49" s="8"/>
      <c r="C49" s="8"/>
      <c r="D49" s="8"/>
      <c r="E49" s="8"/>
      <c r="F49" s="8"/>
    </row>
    <row r="50" spans="1:6" ht="19.5" customHeight="1" x14ac:dyDescent="0.3">
      <c r="A50" s="8" t="s">
        <v>88</v>
      </c>
      <c r="B50" s="8"/>
      <c r="C50" s="8"/>
      <c r="D50" s="8"/>
      <c r="E50" s="8"/>
      <c r="F50" s="8"/>
    </row>
    <row r="51" spans="1:6" ht="19.5" customHeight="1" x14ac:dyDescent="0.3">
      <c r="A51" s="8" t="s">
        <v>89</v>
      </c>
      <c r="B51" s="8"/>
      <c r="C51" s="8"/>
      <c r="D51" s="8"/>
      <c r="E51" s="8"/>
      <c r="F51" s="8"/>
    </row>
    <row r="52" spans="1:6" ht="19.5" customHeight="1" x14ac:dyDescent="0.3">
      <c r="A52" s="8" t="s">
        <v>90</v>
      </c>
      <c r="B52" s="8"/>
      <c r="C52" s="8"/>
      <c r="D52" s="8"/>
      <c r="E52" s="8"/>
      <c r="F52" s="8"/>
    </row>
  </sheetData>
  <mergeCells count="43">
    <mergeCell ref="A50:F50"/>
    <mergeCell ref="A51:F51"/>
    <mergeCell ref="A52:F52"/>
    <mergeCell ref="A44:F44"/>
    <mergeCell ref="A45:F45"/>
    <mergeCell ref="A46:F46"/>
    <mergeCell ref="A48:F48"/>
    <mergeCell ref="A49:F49"/>
    <mergeCell ref="A38:F38"/>
    <mergeCell ref="A39:F39"/>
    <mergeCell ref="A40:F40"/>
    <mergeCell ref="A42:F42"/>
    <mergeCell ref="A43:F43"/>
    <mergeCell ref="A32:F32"/>
    <mergeCell ref="A33:F33"/>
    <mergeCell ref="A35:F35"/>
    <mergeCell ref="A36:F36"/>
    <mergeCell ref="A37:F37"/>
    <mergeCell ref="B26:F26"/>
    <mergeCell ref="B27:F27"/>
    <mergeCell ref="A29:F29"/>
    <mergeCell ref="A30:F30"/>
    <mergeCell ref="A31:F31"/>
    <mergeCell ref="A21:F21"/>
    <mergeCell ref="B22:F22"/>
    <mergeCell ref="B23:F23"/>
    <mergeCell ref="B24:F24"/>
    <mergeCell ref="B25:F25"/>
    <mergeCell ref="A14:F14"/>
    <mergeCell ref="A15:F15"/>
    <mergeCell ref="A16:F16"/>
    <mergeCell ref="A17:F17"/>
    <mergeCell ref="A19:F19"/>
    <mergeCell ref="B8:F8"/>
    <mergeCell ref="B9:F9"/>
    <mergeCell ref="B10:F10"/>
    <mergeCell ref="B11:F11"/>
    <mergeCell ref="A13:F13"/>
    <mergeCell ref="A1:F1"/>
    <mergeCell ref="A2:F2"/>
    <mergeCell ref="A4:F4"/>
    <mergeCell ref="A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showGridLines="0" topLeftCell="A39" zoomScaleNormal="100" workbookViewId="0">
      <selection activeCell="A4" sqref="A4:F4"/>
    </sheetView>
  </sheetViews>
  <sheetFormatPr baseColWidth="10" defaultColWidth="8.6640625" defaultRowHeight="14.4" x14ac:dyDescent="0.3"/>
  <cols>
    <col min="1" max="1" width="39.88671875" customWidth="1"/>
    <col min="2" max="6" width="22" customWidth="1"/>
  </cols>
  <sheetData>
    <row r="1" spans="1:6" ht="25.5" customHeight="1" x14ac:dyDescent="0.3">
      <c r="A1" s="14" t="s">
        <v>91</v>
      </c>
      <c r="B1" s="14"/>
      <c r="C1" s="14"/>
      <c r="D1" s="14"/>
      <c r="E1" s="14"/>
      <c r="F1" s="14"/>
    </row>
    <row r="2" spans="1:6" ht="15.75" customHeight="1" x14ac:dyDescent="0.3">
      <c r="A2" s="13" t="s">
        <v>92</v>
      </c>
      <c r="B2" s="13"/>
      <c r="C2" s="13"/>
      <c r="D2" s="13"/>
      <c r="E2" s="13"/>
      <c r="F2" s="13"/>
    </row>
    <row r="4" spans="1:6" ht="27.75" customHeight="1" x14ac:dyDescent="0.3">
      <c r="A4" s="10" t="s">
        <v>93</v>
      </c>
      <c r="B4" s="10"/>
      <c r="C4" s="10"/>
      <c r="D4" s="10"/>
      <c r="E4" s="10"/>
      <c r="F4" s="10"/>
    </row>
    <row r="6" spans="1:6" ht="21.75" customHeight="1" x14ac:dyDescent="0.3">
      <c r="A6" s="9" t="s">
        <v>94</v>
      </c>
      <c r="B6" s="9"/>
      <c r="C6" s="9"/>
      <c r="D6" s="9"/>
      <c r="E6" s="9"/>
      <c r="F6" s="9"/>
    </row>
    <row r="7" spans="1:6" ht="25.5" customHeight="1" x14ac:dyDescent="0.3">
      <c r="A7" s="23" t="s">
        <v>42</v>
      </c>
      <c r="B7" s="8" t="s">
        <v>95</v>
      </c>
      <c r="C7" s="8"/>
      <c r="D7" s="8"/>
      <c r="E7" s="8"/>
      <c r="F7" s="8"/>
    </row>
    <row r="8" spans="1:6" ht="25.5" customHeight="1" x14ac:dyDescent="0.3">
      <c r="A8" s="23" t="s">
        <v>96</v>
      </c>
      <c r="B8" s="8" t="s">
        <v>97</v>
      </c>
      <c r="C8" s="8"/>
      <c r="D8" s="8"/>
      <c r="E8" s="8"/>
      <c r="F8" s="8"/>
    </row>
    <row r="9" spans="1:6" ht="25.5" customHeight="1" x14ac:dyDescent="0.3">
      <c r="A9" s="23" t="s">
        <v>98</v>
      </c>
      <c r="B9" s="8" t="s">
        <v>99</v>
      </c>
      <c r="C9" s="8"/>
      <c r="D9" s="8"/>
      <c r="E9" s="8"/>
      <c r="F9" s="8"/>
    </row>
    <row r="10" spans="1:6" ht="25.5" customHeight="1" x14ac:dyDescent="0.3">
      <c r="A10" s="23" t="s">
        <v>100</v>
      </c>
      <c r="B10" s="8" t="s">
        <v>101</v>
      </c>
      <c r="C10" s="8"/>
      <c r="D10" s="8"/>
      <c r="E10" s="8"/>
      <c r="F10" s="8"/>
    </row>
    <row r="11" spans="1:6" ht="25.5" customHeight="1" x14ac:dyDescent="0.3">
      <c r="A11" s="23" t="s">
        <v>102</v>
      </c>
      <c r="B11" s="8" t="s">
        <v>103</v>
      </c>
      <c r="C11" s="8"/>
      <c r="D11" s="8"/>
      <c r="E11" s="8"/>
      <c r="F11" s="8"/>
    </row>
    <row r="12" spans="1:6" ht="25.5" customHeight="1" x14ac:dyDescent="0.3">
      <c r="A12" s="23" t="s">
        <v>104</v>
      </c>
      <c r="B12" s="8" t="s">
        <v>105</v>
      </c>
      <c r="C12" s="8"/>
      <c r="D12" s="8"/>
      <c r="E12" s="8"/>
      <c r="F12" s="8"/>
    </row>
    <row r="13" spans="1:6" ht="25.5" customHeight="1" x14ac:dyDescent="0.3">
      <c r="A13" s="23" t="s">
        <v>106</v>
      </c>
      <c r="B13" s="8" t="s">
        <v>107</v>
      </c>
      <c r="C13" s="8"/>
      <c r="D13" s="8"/>
      <c r="E13" s="8"/>
      <c r="F13" s="8"/>
    </row>
    <row r="14" spans="1:6" ht="25.5" customHeight="1" x14ac:dyDescent="0.3">
      <c r="A14" s="23" t="s">
        <v>108</v>
      </c>
      <c r="B14" s="8" t="s">
        <v>109</v>
      </c>
      <c r="C14" s="8"/>
      <c r="D14" s="8"/>
      <c r="E14" s="8"/>
      <c r="F14" s="8"/>
    </row>
    <row r="16" spans="1:6" ht="45" customHeight="1" x14ac:dyDescent="0.3">
      <c r="A16" s="6" t="s">
        <v>110</v>
      </c>
      <c r="B16" s="6"/>
      <c r="C16" s="6"/>
      <c r="D16" s="6"/>
      <c r="E16" s="6"/>
      <c r="F16" s="6"/>
    </row>
    <row r="18" spans="1:6" ht="21.75" customHeight="1" x14ac:dyDescent="0.3">
      <c r="A18" s="9" t="s">
        <v>111</v>
      </c>
      <c r="B18" s="9"/>
      <c r="C18" s="9"/>
      <c r="D18" s="9"/>
      <c r="E18" s="9"/>
      <c r="F18" s="9"/>
    </row>
    <row r="19" spans="1:6" ht="69.75" customHeight="1" x14ac:dyDescent="0.3">
      <c r="A19" s="8" t="s">
        <v>112</v>
      </c>
      <c r="B19" s="8"/>
      <c r="C19" s="8"/>
      <c r="D19" s="8"/>
      <c r="E19" s="8"/>
      <c r="F19" s="8"/>
    </row>
    <row r="21" spans="1:6" ht="21.75" customHeight="1" x14ac:dyDescent="0.3">
      <c r="A21" s="9" t="s">
        <v>113</v>
      </c>
      <c r="B21" s="9"/>
      <c r="C21" s="9"/>
      <c r="D21" s="9"/>
      <c r="E21" s="9"/>
      <c r="F21" s="9"/>
    </row>
    <row r="22" spans="1:6" ht="19.5" customHeight="1" x14ac:dyDescent="0.3">
      <c r="A22" s="8" t="s">
        <v>114</v>
      </c>
      <c r="B22" s="8"/>
      <c r="C22" s="8"/>
      <c r="D22" s="8"/>
      <c r="E22" s="8"/>
      <c r="F22" s="8"/>
    </row>
    <row r="23" spans="1:6" ht="19.5" customHeight="1" x14ac:dyDescent="0.3">
      <c r="A23" s="8" t="s">
        <v>115</v>
      </c>
      <c r="B23" s="8"/>
      <c r="C23" s="8"/>
      <c r="D23" s="8"/>
      <c r="E23" s="8"/>
      <c r="F23" s="8"/>
    </row>
    <row r="24" spans="1:6" ht="19.5" customHeight="1" x14ac:dyDescent="0.3">
      <c r="A24" s="8" t="s">
        <v>116</v>
      </c>
      <c r="B24" s="8"/>
      <c r="C24" s="8"/>
      <c r="D24" s="8"/>
      <c r="E24" s="8"/>
      <c r="F24" s="8"/>
    </row>
    <row r="26" spans="1:6" ht="21.75" customHeight="1" x14ac:dyDescent="0.3">
      <c r="A26" s="9" t="s">
        <v>117</v>
      </c>
      <c r="B26" s="9"/>
      <c r="C26" s="9"/>
      <c r="D26" s="9"/>
      <c r="E26" s="9"/>
      <c r="F26" s="9"/>
    </row>
    <row r="27" spans="1:6" ht="15" customHeight="1" x14ac:dyDescent="0.3">
      <c r="A27" s="16" t="s">
        <v>118</v>
      </c>
      <c r="B27" s="5" t="s">
        <v>119</v>
      </c>
      <c r="C27" s="5"/>
      <c r="D27" s="5"/>
      <c r="E27" s="5"/>
      <c r="F27" s="5"/>
    </row>
    <row r="28" spans="1:6" ht="31.5" customHeight="1" x14ac:dyDescent="0.3">
      <c r="A28" s="17" t="s">
        <v>120</v>
      </c>
      <c r="B28" s="10" t="s">
        <v>121</v>
      </c>
      <c r="C28" s="10"/>
      <c r="D28" s="10"/>
      <c r="E28" s="10"/>
      <c r="F28" s="10"/>
    </row>
    <row r="29" spans="1:6" ht="31.5" customHeight="1" x14ac:dyDescent="0.3">
      <c r="A29" s="17" t="s">
        <v>122</v>
      </c>
      <c r="B29" s="10" t="s">
        <v>123</v>
      </c>
      <c r="C29" s="10"/>
      <c r="D29" s="10"/>
      <c r="E29" s="10"/>
      <c r="F29" s="10"/>
    </row>
    <row r="30" spans="1:6" ht="31.5" customHeight="1" x14ac:dyDescent="0.3">
      <c r="A30" s="17" t="s">
        <v>124</v>
      </c>
      <c r="B30" s="10" t="s">
        <v>125</v>
      </c>
      <c r="C30" s="10"/>
      <c r="D30" s="10"/>
      <c r="E30" s="10"/>
      <c r="F30" s="10"/>
    </row>
    <row r="31" spans="1:6" ht="31.5" customHeight="1" x14ac:dyDescent="0.3">
      <c r="A31" s="17" t="s">
        <v>126</v>
      </c>
      <c r="B31" s="10" t="s">
        <v>127</v>
      </c>
      <c r="C31" s="10"/>
      <c r="D31" s="10"/>
      <c r="E31" s="10"/>
      <c r="F31" s="10"/>
    </row>
    <row r="33" spans="1:6" ht="21.75" customHeight="1" x14ac:dyDescent="0.3">
      <c r="A33" s="9" t="s">
        <v>128</v>
      </c>
      <c r="B33" s="9"/>
      <c r="C33" s="9"/>
      <c r="D33" s="9"/>
      <c r="E33" s="9"/>
      <c r="F33" s="9"/>
    </row>
    <row r="34" spans="1:6" ht="19.5" customHeight="1" x14ac:dyDescent="0.3">
      <c r="A34" s="8" t="s">
        <v>129</v>
      </c>
      <c r="B34" s="8"/>
      <c r="C34" s="8"/>
      <c r="D34" s="8"/>
      <c r="E34" s="8"/>
      <c r="F34" s="8"/>
    </row>
    <row r="35" spans="1:6" ht="19.5" customHeight="1" x14ac:dyDescent="0.3">
      <c r="A35" s="8" t="s">
        <v>130</v>
      </c>
      <c r="B35" s="8"/>
      <c r="C35" s="8"/>
      <c r="D35" s="8"/>
      <c r="E35" s="8"/>
      <c r="F35" s="8"/>
    </row>
    <row r="36" spans="1:6" ht="19.5" customHeight="1" x14ac:dyDescent="0.3">
      <c r="A36" s="8" t="s">
        <v>131</v>
      </c>
      <c r="B36" s="8"/>
      <c r="C36" s="8"/>
      <c r="D36" s="8"/>
      <c r="E36" s="8"/>
      <c r="F36" s="8"/>
    </row>
    <row r="38" spans="1:6" ht="21.75" customHeight="1" x14ac:dyDescent="0.3">
      <c r="A38" s="9" t="s">
        <v>132</v>
      </c>
      <c r="B38" s="9"/>
      <c r="C38" s="9"/>
      <c r="D38" s="9"/>
      <c r="E38" s="9"/>
      <c r="F38" s="9"/>
    </row>
    <row r="39" spans="1:6" ht="31.5" customHeight="1" x14ac:dyDescent="0.3">
      <c r="A39" s="8" t="s">
        <v>133</v>
      </c>
      <c r="B39" s="8"/>
      <c r="C39" s="8"/>
      <c r="D39" s="8"/>
      <c r="E39" s="8"/>
      <c r="F39" s="8"/>
    </row>
    <row r="41" spans="1:6" ht="21.75" customHeight="1" x14ac:dyDescent="0.3">
      <c r="A41" s="9" t="s">
        <v>134</v>
      </c>
      <c r="B41" s="9"/>
      <c r="C41" s="9"/>
      <c r="D41" s="9"/>
      <c r="E41" s="9"/>
      <c r="F41" s="9"/>
    </row>
    <row r="42" spans="1:6" ht="19.5" customHeight="1" x14ac:dyDescent="0.3">
      <c r="A42" s="8" t="s">
        <v>135</v>
      </c>
      <c r="B42" s="8"/>
      <c r="C42" s="8"/>
      <c r="D42" s="8"/>
      <c r="E42" s="8"/>
      <c r="F42" s="8"/>
    </row>
    <row r="43" spans="1:6" ht="19.5" customHeight="1" x14ac:dyDescent="0.3">
      <c r="A43" s="8" t="s">
        <v>136</v>
      </c>
      <c r="B43" s="8"/>
      <c r="C43" s="8"/>
      <c r="D43" s="8"/>
      <c r="E43" s="8"/>
      <c r="F43" s="8"/>
    </row>
    <row r="44" spans="1:6" ht="19.5" customHeight="1" x14ac:dyDescent="0.3">
      <c r="A44" s="8" t="s">
        <v>137</v>
      </c>
      <c r="B44" s="8"/>
      <c r="C44" s="8"/>
      <c r="D44" s="8"/>
      <c r="E44" s="8"/>
      <c r="F44" s="8"/>
    </row>
    <row r="45" spans="1:6" ht="19.5" customHeight="1" x14ac:dyDescent="0.3">
      <c r="A45" s="8" t="s">
        <v>138</v>
      </c>
      <c r="B45" s="8"/>
      <c r="C45" s="8"/>
      <c r="D45" s="8"/>
      <c r="E45" s="8"/>
      <c r="F45" s="8"/>
    </row>
    <row r="47" spans="1:6" ht="21.75" customHeight="1" x14ac:dyDescent="0.3">
      <c r="A47" s="9" t="s">
        <v>139</v>
      </c>
      <c r="B47" s="9"/>
      <c r="C47" s="9"/>
      <c r="D47" s="9"/>
      <c r="E47" s="9"/>
      <c r="F47" s="9"/>
    </row>
    <row r="48" spans="1:6" ht="54.75" customHeight="1" x14ac:dyDescent="0.3">
      <c r="A48" s="8" t="s">
        <v>140</v>
      </c>
      <c r="B48" s="8"/>
      <c r="C48" s="8"/>
      <c r="D48" s="8"/>
      <c r="E48" s="8"/>
      <c r="F48" s="8"/>
    </row>
  </sheetData>
  <mergeCells count="38">
    <mergeCell ref="A45:F45"/>
    <mergeCell ref="A47:F47"/>
    <mergeCell ref="A48:F48"/>
    <mergeCell ref="A39:F39"/>
    <mergeCell ref="A41:F41"/>
    <mergeCell ref="A42:F42"/>
    <mergeCell ref="A43:F43"/>
    <mergeCell ref="A44:F44"/>
    <mergeCell ref="A33:F33"/>
    <mergeCell ref="A34:F34"/>
    <mergeCell ref="A35:F35"/>
    <mergeCell ref="A36:F36"/>
    <mergeCell ref="A38:F38"/>
    <mergeCell ref="B27:F27"/>
    <mergeCell ref="B28:F28"/>
    <mergeCell ref="B29:F29"/>
    <mergeCell ref="B30:F30"/>
    <mergeCell ref="B31:F31"/>
    <mergeCell ref="A21:F21"/>
    <mergeCell ref="A22:F22"/>
    <mergeCell ref="A23:F23"/>
    <mergeCell ref="A24:F24"/>
    <mergeCell ref="A26:F26"/>
    <mergeCell ref="B13:F13"/>
    <mergeCell ref="B14:F14"/>
    <mergeCell ref="A16:F16"/>
    <mergeCell ref="A18:F18"/>
    <mergeCell ref="A19:F19"/>
    <mergeCell ref="B8:F8"/>
    <mergeCell ref="B9:F9"/>
    <mergeCell ref="B10:F10"/>
    <mergeCell ref="B11:F11"/>
    <mergeCell ref="B12:F12"/>
    <mergeCell ref="A1:F1"/>
    <mergeCell ref="A2:F2"/>
    <mergeCell ref="A4:F4"/>
    <mergeCell ref="A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showGridLines="0" zoomScaleNormal="100" workbookViewId="0">
      <selection sqref="A1:H1"/>
    </sheetView>
  </sheetViews>
  <sheetFormatPr baseColWidth="10" defaultColWidth="8.6640625" defaultRowHeight="14.4" x14ac:dyDescent="0.3"/>
  <cols>
    <col min="1" max="1" width="4" customWidth="1"/>
    <col min="2" max="2" width="12" customWidth="1"/>
    <col min="3" max="3" width="20" customWidth="1"/>
    <col min="4" max="5" width="12" customWidth="1"/>
    <col min="6" max="6" width="55" customWidth="1"/>
    <col min="7" max="7" width="34" customWidth="1"/>
    <col min="8" max="8" width="12" customWidth="1"/>
  </cols>
  <sheetData>
    <row r="1" spans="1:8" ht="25.5" customHeight="1" x14ac:dyDescent="0.3">
      <c r="A1" s="14" t="s">
        <v>141</v>
      </c>
      <c r="B1" s="14"/>
      <c r="C1" s="14"/>
      <c r="D1" s="14"/>
      <c r="E1" s="14"/>
      <c r="F1" s="14"/>
      <c r="G1" s="14"/>
      <c r="H1" s="14"/>
    </row>
    <row r="2" spans="1:8" ht="15.75" customHeight="1" x14ac:dyDescent="0.3">
      <c r="A2" s="13" t="s">
        <v>142</v>
      </c>
      <c r="B2" s="13"/>
      <c r="C2" s="13"/>
      <c r="D2" s="13"/>
      <c r="E2" s="13"/>
      <c r="F2" s="13"/>
      <c r="G2" s="13"/>
      <c r="H2" s="13"/>
    </row>
    <row r="4" spans="1:8" ht="30" customHeight="1" x14ac:dyDescent="0.3">
      <c r="A4" s="16" t="s">
        <v>143</v>
      </c>
      <c r="B4" s="16" t="s">
        <v>144</v>
      </c>
      <c r="C4" s="16" t="s">
        <v>145</v>
      </c>
      <c r="D4" s="16" t="s">
        <v>146</v>
      </c>
      <c r="E4" s="16" t="s">
        <v>147</v>
      </c>
      <c r="F4" s="16" t="s">
        <v>148</v>
      </c>
      <c r="G4" s="16" t="s">
        <v>149</v>
      </c>
      <c r="H4" s="16" t="s">
        <v>150</v>
      </c>
    </row>
    <row r="5" spans="1:8" ht="45.75" customHeight="1" x14ac:dyDescent="0.3">
      <c r="A5" s="24">
        <v>1</v>
      </c>
      <c r="B5" s="25" t="s">
        <v>151</v>
      </c>
      <c r="C5" s="25" t="s">
        <v>152</v>
      </c>
      <c r="D5" s="24">
        <v>5</v>
      </c>
      <c r="E5" s="24" t="s">
        <v>153</v>
      </c>
      <c r="F5" s="17" t="s">
        <v>154</v>
      </c>
      <c r="G5" s="25" t="s">
        <v>155</v>
      </c>
      <c r="H5" s="26" t="s">
        <v>156</v>
      </c>
    </row>
    <row r="6" spans="1:8" ht="45.75" customHeight="1" x14ac:dyDescent="0.3">
      <c r="A6" s="24">
        <v>2</v>
      </c>
      <c r="B6" s="25" t="s">
        <v>151</v>
      </c>
      <c r="C6" s="25" t="s">
        <v>157</v>
      </c>
      <c r="D6" s="24">
        <v>5</v>
      </c>
      <c r="E6" s="24" t="s">
        <v>158</v>
      </c>
      <c r="F6" s="17" t="s">
        <v>159</v>
      </c>
      <c r="G6" s="25" t="s">
        <v>155</v>
      </c>
      <c r="H6" s="26" t="s">
        <v>156</v>
      </c>
    </row>
    <row r="7" spans="1:8" ht="45.75" customHeight="1" x14ac:dyDescent="0.3">
      <c r="A7" s="24">
        <v>3</v>
      </c>
      <c r="B7" s="25" t="s">
        <v>151</v>
      </c>
      <c r="C7" s="25" t="s">
        <v>160</v>
      </c>
      <c r="D7" s="24">
        <v>4</v>
      </c>
      <c r="E7" s="24" t="s">
        <v>161</v>
      </c>
      <c r="F7" s="17" t="s">
        <v>162</v>
      </c>
      <c r="G7" s="25" t="s">
        <v>155</v>
      </c>
      <c r="H7" s="27" t="s">
        <v>163</v>
      </c>
    </row>
    <row r="8" spans="1:8" ht="45.75" customHeight="1" x14ac:dyDescent="0.3">
      <c r="A8" s="24">
        <v>4</v>
      </c>
      <c r="B8" s="25" t="s">
        <v>151</v>
      </c>
      <c r="C8" s="25" t="s">
        <v>164</v>
      </c>
      <c r="D8" s="24"/>
      <c r="E8" s="24" t="s">
        <v>165</v>
      </c>
      <c r="F8" s="17" t="s">
        <v>166</v>
      </c>
      <c r="G8" s="25" t="s">
        <v>155</v>
      </c>
      <c r="H8" s="26" t="s">
        <v>156</v>
      </c>
    </row>
    <row r="9" spans="1:8" ht="45.75" customHeight="1" x14ac:dyDescent="0.3">
      <c r="A9" s="24">
        <v>5</v>
      </c>
      <c r="B9" s="25" t="s">
        <v>151</v>
      </c>
      <c r="C9" s="25" t="s">
        <v>167</v>
      </c>
      <c r="D9" s="24">
        <v>2</v>
      </c>
      <c r="E9" s="24" t="s">
        <v>168</v>
      </c>
      <c r="F9" s="17" t="s">
        <v>169</v>
      </c>
      <c r="G9" s="25" t="s">
        <v>170</v>
      </c>
      <c r="H9" s="28" t="s">
        <v>171</v>
      </c>
    </row>
    <row r="10" spans="1:8" ht="45.75" customHeight="1" x14ac:dyDescent="0.3">
      <c r="A10" s="24">
        <v>6</v>
      </c>
      <c r="B10" s="25" t="s">
        <v>151</v>
      </c>
      <c r="C10" s="25" t="s">
        <v>172</v>
      </c>
      <c r="D10" s="24">
        <v>1</v>
      </c>
      <c r="E10" s="24" t="s">
        <v>173</v>
      </c>
      <c r="F10" s="17" t="s">
        <v>174</v>
      </c>
      <c r="G10" s="25" t="s">
        <v>170</v>
      </c>
      <c r="H10" s="28" t="s">
        <v>171</v>
      </c>
    </row>
    <row r="11" spans="1:8" ht="45.75" customHeight="1" x14ac:dyDescent="0.3">
      <c r="A11" s="24">
        <v>7</v>
      </c>
      <c r="B11" s="25" t="s">
        <v>151</v>
      </c>
      <c r="C11" s="25" t="s">
        <v>175</v>
      </c>
      <c r="D11" s="24">
        <v>1</v>
      </c>
      <c r="E11" s="24" t="s">
        <v>176</v>
      </c>
      <c r="F11" s="17" t="s">
        <v>177</v>
      </c>
      <c r="G11" s="25" t="s">
        <v>178</v>
      </c>
      <c r="H11" s="28" t="s">
        <v>171</v>
      </c>
    </row>
    <row r="12" spans="1:8" ht="45.75" customHeight="1" x14ac:dyDescent="0.3">
      <c r="A12" s="24">
        <v>8</v>
      </c>
      <c r="B12" s="25" t="s">
        <v>151</v>
      </c>
      <c r="C12" s="25" t="s">
        <v>179</v>
      </c>
      <c r="D12" s="24">
        <v>2</v>
      </c>
      <c r="E12" s="24" t="s">
        <v>180</v>
      </c>
      <c r="F12" s="17" t="s">
        <v>181</v>
      </c>
      <c r="G12" s="25" t="s">
        <v>178</v>
      </c>
      <c r="H12" s="28" t="s">
        <v>171</v>
      </c>
    </row>
    <row r="13" spans="1:8" ht="45.75" customHeight="1" x14ac:dyDescent="0.3">
      <c r="A13" s="24">
        <v>9</v>
      </c>
      <c r="B13" s="25" t="s">
        <v>151</v>
      </c>
      <c r="C13" s="25" t="s">
        <v>182</v>
      </c>
      <c r="D13" s="24">
        <v>2</v>
      </c>
      <c r="E13" s="24" t="s">
        <v>183</v>
      </c>
      <c r="F13" s="17" t="s">
        <v>184</v>
      </c>
      <c r="G13" s="25" t="s">
        <v>185</v>
      </c>
      <c r="H13" s="28" t="s">
        <v>171</v>
      </c>
    </row>
    <row r="14" spans="1:8" ht="45.75" customHeight="1" x14ac:dyDescent="0.3">
      <c r="A14" s="24">
        <v>10</v>
      </c>
      <c r="B14" s="25" t="s">
        <v>186</v>
      </c>
      <c r="C14" s="25" t="s">
        <v>187</v>
      </c>
      <c r="D14" s="24"/>
      <c r="E14" s="24" t="s">
        <v>165</v>
      </c>
      <c r="F14" s="17" t="s">
        <v>188</v>
      </c>
      <c r="G14" s="25" t="s">
        <v>185</v>
      </c>
      <c r="H14" s="28" t="s">
        <v>171</v>
      </c>
    </row>
    <row r="15" spans="1:8" ht="45.75" customHeight="1" x14ac:dyDescent="0.3">
      <c r="A15" s="24">
        <v>11</v>
      </c>
      <c r="B15" s="25" t="s">
        <v>151</v>
      </c>
      <c r="C15" s="25" t="s">
        <v>189</v>
      </c>
      <c r="D15" s="24">
        <v>1</v>
      </c>
      <c r="E15" s="24" t="s">
        <v>190</v>
      </c>
      <c r="F15" s="17" t="s">
        <v>191</v>
      </c>
      <c r="G15" s="25" t="s">
        <v>192</v>
      </c>
      <c r="H15" s="28" t="s">
        <v>171</v>
      </c>
    </row>
    <row r="16" spans="1:8" ht="45.75" customHeight="1" x14ac:dyDescent="0.3">
      <c r="A16" s="24">
        <v>12</v>
      </c>
      <c r="B16" s="25" t="s">
        <v>151</v>
      </c>
      <c r="C16" s="25" t="s">
        <v>193</v>
      </c>
      <c r="D16" s="24">
        <v>2</v>
      </c>
      <c r="E16" s="24" t="s">
        <v>168</v>
      </c>
      <c r="F16" s="17" t="s">
        <v>194</v>
      </c>
      <c r="G16" s="25" t="s">
        <v>192</v>
      </c>
      <c r="H16" s="28" t="s">
        <v>171</v>
      </c>
    </row>
    <row r="17" spans="1:8" ht="45.75" customHeight="1" x14ac:dyDescent="0.3">
      <c r="A17" s="24">
        <v>13</v>
      </c>
      <c r="B17" s="25" t="s">
        <v>151</v>
      </c>
      <c r="C17" s="25" t="s">
        <v>195</v>
      </c>
      <c r="D17" s="24">
        <v>5</v>
      </c>
      <c r="E17" s="24" t="s">
        <v>196</v>
      </c>
      <c r="F17" s="17" t="s">
        <v>197</v>
      </c>
      <c r="G17" s="25" t="s">
        <v>192</v>
      </c>
      <c r="H17" s="27" t="s">
        <v>163</v>
      </c>
    </row>
    <row r="19" spans="1:8" ht="22.35" customHeight="1" x14ac:dyDescent="0.3">
      <c r="A19" s="11" t="s">
        <v>198</v>
      </c>
      <c r="B19" s="11"/>
      <c r="C19" s="11"/>
      <c r="D19" s="11"/>
      <c r="E19" s="11"/>
      <c r="F19" s="11"/>
      <c r="G19" s="11"/>
      <c r="H19" s="11"/>
    </row>
    <row r="22" spans="1:8" ht="15.6" x14ac:dyDescent="0.3">
      <c r="A22" s="15" t="s">
        <v>199</v>
      </c>
    </row>
    <row r="23" spans="1:8" ht="15" customHeight="1" x14ac:dyDescent="0.3">
      <c r="A23" s="11" t="s">
        <v>200</v>
      </c>
      <c r="B23" s="11"/>
      <c r="C23" s="11"/>
      <c r="D23" s="11"/>
      <c r="E23" s="11"/>
      <c r="F23" s="11"/>
      <c r="G23" s="11"/>
      <c r="H23" s="11"/>
    </row>
    <row r="25" spans="1:8" ht="24" customHeight="1" x14ac:dyDescent="0.3">
      <c r="A25" s="16" t="s">
        <v>143</v>
      </c>
      <c r="B25" s="16" t="s">
        <v>201</v>
      </c>
      <c r="C25" s="16" t="s">
        <v>202</v>
      </c>
      <c r="D25" s="16" t="s">
        <v>203</v>
      </c>
      <c r="E25" s="16" t="s">
        <v>204</v>
      </c>
    </row>
    <row r="26" spans="1:8" ht="92.4" x14ac:dyDescent="0.3">
      <c r="A26" s="17">
        <v>1</v>
      </c>
      <c r="B26" s="17" t="s">
        <v>205</v>
      </c>
      <c r="C26" s="17" t="s">
        <v>206</v>
      </c>
      <c r="D26" s="29">
        <f>AVERAGE('Respuestas Encuesta'!D6:D55)</f>
        <v>6.16</v>
      </c>
      <c r="E26" s="17" t="s">
        <v>207</v>
      </c>
    </row>
    <row r="27" spans="1:8" ht="66" x14ac:dyDescent="0.3">
      <c r="A27" s="17">
        <v>2</v>
      </c>
      <c r="B27" s="17" t="s">
        <v>208</v>
      </c>
      <c r="C27" s="17" t="s">
        <v>209</v>
      </c>
      <c r="D27" s="29">
        <f>AVERAGE('Respuestas Encuesta'!F6:F55)</f>
        <v>3.3</v>
      </c>
      <c r="E27" s="17" t="s">
        <v>210</v>
      </c>
    </row>
    <row r="28" spans="1:8" ht="52.8" x14ac:dyDescent="0.3">
      <c r="A28" s="17">
        <v>3</v>
      </c>
      <c r="B28" s="17" t="s">
        <v>211</v>
      </c>
      <c r="C28" s="17" t="s">
        <v>212</v>
      </c>
      <c r="D28" s="29">
        <f>AVERAGE('Respuestas Encuesta'!G6:G55)</f>
        <v>2.98</v>
      </c>
      <c r="E28" s="17" t="s">
        <v>210</v>
      </c>
    </row>
    <row r="29" spans="1:8" ht="68.400000000000006" x14ac:dyDescent="0.3">
      <c r="A29" s="17">
        <v>4</v>
      </c>
      <c r="B29" s="17" t="s">
        <v>213</v>
      </c>
      <c r="C29" s="17" t="s">
        <v>214</v>
      </c>
      <c r="D29" s="22" t="s">
        <v>215</v>
      </c>
      <c r="E29" s="17" t="s">
        <v>216</v>
      </c>
    </row>
    <row r="30" spans="1:8" ht="91.2" x14ac:dyDescent="0.3">
      <c r="A30" s="17">
        <v>5</v>
      </c>
      <c r="B30" s="17" t="s">
        <v>217</v>
      </c>
      <c r="C30" s="17" t="s">
        <v>218</v>
      </c>
      <c r="D30" s="22" t="s">
        <v>219</v>
      </c>
      <c r="E30" s="17" t="s">
        <v>216</v>
      </c>
    </row>
    <row r="31" spans="1:8" ht="15" customHeight="1" x14ac:dyDescent="0.3">
      <c r="A31" s="4" t="s">
        <v>220</v>
      </c>
      <c r="B31" s="4"/>
      <c r="C31" s="4"/>
      <c r="D31" s="4"/>
      <c r="E31" s="4"/>
      <c r="F31" s="4"/>
      <c r="G31" s="4"/>
      <c r="H31" s="4"/>
    </row>
  </sheetData>
  <mergeCells count="5">
    <mergeCell ref="A1:H1"/>
    <mergeCell ref="A2:H2"/>
    <mergeCell ref="A19:H19"/>
    <mergeCell ref="A23:H23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showGridLines="0" zoomScaleNormal="100" workbookViewId="0">
      <pane ySplit="5" topLeftCell="A6" activePane="bottomLeft" state="frozen"/>
      <selection pane="bottomLeft" sqref="A1:J1"/>
    </sheetView>
  </sheetViews>
  <sheetFormatPr baseColWidth="10"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2" customWidth="1"/>
    <col min="5" max="5" width="15" customWidth="1"/>
    <col min="6" max="7" width="10" customWidth="1"/>
    <col min="8" max="8" width="28" customWidth="1"/>
    <col min="9" max="9" width="38" customWidth="1"/>
    <col min="10" max="10" width="34" customWidth="1"/>
  </cols>
  <sheetData>
    <row r="1" spans="1:10" ht="25.5" customHeight="1" x14ac:dyDescent="0.3">
      <c r="A1" s="14" t="s">
        <v>221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3">
      <c r="A2" s="13" t="s">
        <v>222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" customHeight="1" x14ac:dyDescent="0.3">
      <c r="A3" s="4" t="s">
        <v>223</v>
      </c>
      <c r="B3" s="4"/>
      <c r="C3" s="4"/>
      <c r="D3" s="4"/>
      <c r="E3" s="4"/>
      <c r="F3" s="4"/>
      <c r="G3" s="4"/>
      <c r="H3" s="4"/>
      <c r="I3" s="4"/>
      <c r="J3" s="4"/>
    </row>
    <row r="5" spans="1:10" ht="33.75" customHeight="1" x14ac:dyDescent="0.3">
      <c r="A5" s="16" t="s">
        <v>224</v>
      </c>
      <c r="B5" s="16" t="s">
        <v>225</v>
      </c>
      <c r="C5" s="16" t="s">
        <v>226</v>
      </c>
      <c r="D5" s="16" t="s">
        <v>227</v>
      </c>
      <c r="E5" s="16" t="s">
        <v>228</v>
      </c>
      <c r="F5" s="16" t="s">
        <v>229</v>
      </c>
      <c r="G5" s="16" t="s">
        <v>230</v>
      </c>
      <c r="H5" s="16" t="s">
        <v>231</v>
      </c>
      <c r="I5" s="16" t="s">
        <v>232</v>
      </c>
      <c r="J5" s="16" t="s">
        <v>148</v>
      </c>
    </row>
    <row r="6" spans="1:10" ht="27.75" customHeight="1" x14ac:dyDescent="0.3">
      <c r="A6" s="24" t="s">
        <v>233</v>
      </c>
      <c r="B6" s="30">
        <v>46096</v>
      </c>
      <c r="C6" s="24" t="s">
        <v>151</v>
      </c>
      <c r="D6" s="24">
        <v>7</v>
      </c>
      <c r="E6" s="27" t="str">
        <f t="shared" ref="E6:E37" si="0">IF(D6&gt;=9,"Promotor",IF(D6&gt;=7,"Pasivo","Detractor"))</f>
        <v>Pasivo</v>
      </c>
      <c r="F6" s="24">
        <v>4</v>
      </c>
      <c r="G6" s="24">
        <v>2</v>
      </c>
      <c r="H6" s="17" t="s">
        <v>234</v>
      </c>
      <c r="I6" s="17" t="s">
        <v>155</v>
      </c>
      <c r="J6" s="17" t="s">
        <v>235</v>
      </c>
    </row>
    <row r="7" spans="1:10" ht="27.75" customHeight="1" x14ac:dyDescent="0.3">
      <c r="A7" s="24" t="s">
        <v>236</v>
      </c>
      <c r="B7" s="30">
        <v>46101</v>
      </c>
      <c r="C7" s="24" t="s">
        <v>237</v>
      </c>
      <c r="D7" s="24">
        <v>0</v>
      </c>
      <c r="E7" s="28" t="str">
        <f t="shared" si="0"/>
        <v>Detractor</v>
      </c>
      <c r="F7" s="24">
        <v>4</v>
      </c>
      <c r="G7" s="24">
        <v>2</v>
      </c>
      <c r="H7" s="17" t="s">
        <v>234</v>
      </c>
      <c r="I7" s="17" t="s">
        <v>170</v>
      </c>
      <c r="J7" s="17" t="s">
        <v>238</v>
      </c>
    </row>
    <row r="8" spans="1:10" ht="27.75" customHeight="1" x14ac:dyDescent="0.3">
      <c r="A8" s="24" t="s">
        <v>239</v>
      </c>
      <c r="B8" s="30">
        <v>46100</v>
      </c>
      <c r="C8" s="24" t="s">
        <v>240</v>
      </c>
      <c r="D8" s="24">
        <v>9</v>
      </c>
      <c r="E8" s="26" t="str">
        <f t="shared" si="0"/>
        <v>Promotor</v>
      </c>
      <c r="F8" s="24">
        <v>5</v>
      </c>
      <c r="G8" s="24">
        <v>3</v>
      </c>
      <c r="H8" s="17" t="s">
        <v>241</v>
      </c>
      <c r="I8" s="17" t="s">
        <v>155</v>
      </c>
      <c r="J8" s="17" t="s">
        <v>235</v>
      </c>
    </row>
    <row r="9" spans="1:10" ht="27.75" customHeight="1" x14ac:dyDescent="0.3">
      <c r="A9" s="24" t="s">
        <v>242</v>
      </c>
      <c r="B9" s="30">
        <v>46108</v>
      </c>
      <c r="C9" s="24" t="s">
        <v>240</v>
      </c>
      <c r="D9" s="24">
        <v>9</v>
      </c>
      <c r="E9" s="26" t="str">
        <f t="shared" si="0"/>
        <v>Promotor</v>
      </c>
      <c r="F9" s="24">
        <v>4</v>
      </c>
      <c r="G9" s="24">
        <v>5</v>
      </c>
      <c r="H9" s="17" t="s">
        <v>234</v>
      </c>
      <c r="I9" s="17" t="s">
        <v>155</v>
      </c>
      <c r="J9" s="17" t="s">
        <v>243</v>
      </c>
    </row>
    <row r="10" spans="1:10" ht="27.75" customHeight="1" x14ac:dyDescent="0.3">
      <c r="A10" s="24" t="s">
        <v>244</v>
      </c>
      <c r="B10" s="30">
        <v>46059</v>
      </c>
      <c r="C10" s="24" t="s">
        <v>237</v>
      </c>
      <c r="D10" s="24">
        <v>3</v>
      </c>
      <c r="E10" s="28" t="str">
        <f t="shared" si="0"/>
        <v>Detractor</v>
      </c>
      <c r="F10" s="24">
        <v>2</v>
      </c>
      <c r="G10" s="24">
        <v>3</v>
      </c>
      <c r="H10" s="17" t="s">
        <v>234</v>
      </c>
      <c r="I10" s="17" t="s">
        <v>178</v>
      </c>
      <c r="J10" s="17" t="s">
        <v>245</v>
      </c>
    </row>
    <row r="11" spans="1:10" ht="27.75" customHeight="1" x14ac:dyDescent="0.3">
      <c r="A11" s="24" t="s">
        <v>246</v>
      </c>
      <c r="B11" s="30">
        <v>46102</v>
      </c>
      <c r="C11" s="24" t="s">
        <v>151</v>
      </c>
      <c r="D11" s="24">
        <v>7</v>
      </c>
      <c r="E11" s="27" t="str">
        <f t="shared" si="0"/>
        <v>Pasivo</v>
      </c>
      <c r="F11" s="24">
        <v>4</v>
      </c>
      <c r="G11" s="24">
        <v>4</v>
      </c>
      <c r="H11" s="17" t="s">
        <v>234</v>
      </c>
      <c r="I11" s="17" t="s">
        <v>192</v>
      </c>
      <c r="J11" s="17" t="s">
        <v>247</v>
      </c>
    </row>
    <row r="12" spans="1:10" ht="27.75" customHeight="1" x14ac:dyDescent="0.3">
      <c r="A12" s="24" t="s">
        <v>248</v>
      </c>
      <c r="B12" s="30">
        <v>46069</v>
      </c>
      <c r="C12" s="24" t="s">
        <v>240</v>
      </c>
      <c r="D12" s="24">
        <v>4</v>
      </c>
      <c r="E12" s="28" t="str">
        <f t="shared" si="0"/>
        <v>Detractor</v>
      </c>
      <c r="F12" s="24">
        <v>3</v>
      </c>
      <c r="G12" s="24">
        <v>1</v>
      </c>
      <c r="H12" s="17" t="s">
        <v>234</v>
      </c>
      <c r="I12" s="17" t="s">
        <v>155</v>
      </c>
      <c r="J12" s="17" t="s">
        <v>243</v>
      </c>
    </row>
    <row r="13" spans="1:10" ht="27.75" customHeight="1" x14ac:dyDescent="0.3">
      <c r="A13" s="24" t="s">
        <v>249</v>
      </c>
      <c r="B13" s="30">
        <v>46101</v>
      </c>
      <c r="C13" s="24" t="s">
        <v>250</v>
      </c>
      <c r="D13" s="24">
        <v>9</v>
      </c>
      <c r="E13" s="26" t="str">
        <f t="shared" si="0"/>
        <v>Promotor</v>
      </c>
      <c r="F13" s="24">
        <v>5</v>
      </c>
      <c r="G13" s="24">
        <v>3</v>
      </c>
      <c r="H13" s="17" t="s">
        <v>234</v>
      </c>
      <c r="I13" s="17" t="s">
        <v>155</v>
      </c>
      <c r="J13" s="17" t="s">
        <v>243</v>
      </c>
    </row>
    <row r="14" spans="1:10" ht="27.75" customHeight="1" x14ac:dyDescent="0.3">
      <c r="A14" s="24" t="s">
        <v>251</v>
      </c>
      <c r="B14" s="30">
        <v>46099</v>
      </c>
      <c r="C14" s="24" t="s">
        <v>250</v>
      </c>
      <c r="D14" s="24">
        <v>8</v>
      </c>
      <c r="E14" s="27" t="str">
        <f t="shared" si="0"/>
        <v>Pasivo</v>
      </c>
      <c r="F14" s="24">
        <v>3</v>
      </c>
      <c r="G14" s="24">
        <v>2</v>
      </c>
      <c r="H14" s="17" t="s">
        <v>252</v>
      </c>
      <c r="I14" s="17" t="s">
        <v>253</v>
      </c>
      <c r="J14" s="17" t="s">
        <v>254</v>
      </c>
    </row>
    <row r="15" spans="1:10" ht="27.75" customHeight="1" x14ac:dyDescent="0.3">
      <c r="A15" s="24" t="s">
        <v>255</v>
      </c>
      <c r="B15" s="30">
        <v>46096</v>
      </c>
      <c r="C15" s="24" t="s">
        <v>237</v>
      </c>
      <c r="D15" s="24">
        <v>7</v>
      </c>
      <c r="E15" s="27" t="str">
        <f t="shared" si="0"/>
        <v>Pasivo</v>
      </c>
      <c r="F15" s="24">
        <v>3</v>
      </c>
      <c r="G15" s="24">
        <v>2</v>
      </c>
      <c r="H15" s="17" t="s">
        <v>256</v>
      </c>
      <c r="I15" s="17" t="s">
        <v>192</v>
      </c>
      <c r="J15" s="17" t="s">
        <v>257</v>
      </c>
    </row>
    <row r="16" spans="1:10" ht="27.75" customHeight="1" x14ac:dyDescent="0.3">
      <c r="A16" s="24" t="s">
        <v>258</v>
      </c>
      <c r="B16" s="30">
        <v>46107</v>
      </c>
      <c r="C16" s="24" t="s">
        <v>240</v>
      </c>
      <c r="D16" s="24">
        <v>2</v>
      </c>
      <c r="E16" s="28" t="str">
        <f t="shared" si="0"/>
        <v>Detractor</v>
      </c>
      <c r="F16" s="24">
        <v>3</v>
      </c>
      <c r="G16" s="24">
        <v>2</v>
      </c>
      <c r="H16" s="17" t="s">
        <v>259</v>
      </c>
      <c r="I16" s="17" t="s">
        <v>170</v>
      </c>
      <c r="J16" s="17" t="s">
        <v>260</v>
      </c>
    </row>
    <row r="17" spans="1:10" ht="27.75" customHeight="1" x14ac:dyDescent="0.3">
      <c r="A17" s="24" t="s">
        <v>261</v>
      </c>
      <c r="B17" s="30">
        <v>46084</v>
      </c>
      <c r="C17" s="24" t="s">
        <v>151</v>
      </c>
      <c r="D17" s="24">
        <v>2</v>
      </c>
      <c r="E17" s="28" t="str">
        <f t="shared" si="0"/>
        <v>Detractor</v>
      </c>
      <c r="F17" s="24">
        <v>2</v>
      </c>
      <c r="G17" s="24">
        <v>1</v>
      </c>
      <c r="H17" s="17" t="s">
        <v>256</v>
      </c>
      <c r="I17" s="17" t="s">
        <v>178</v>
      </c>
      <c r="J17" s="17" t="s">
        <v>262</v>
      </c>
    </row>
    <row r="18" spans="1:10" ht="27.75" customHeight="1" x14ac:dyDescent="0.3">
      <c r="A18" s="24" t="s">
        <v>263</v>
      </c>
      <c r="B18" s="30">
        <v>46114</v>
      </c>
      <c r="C18" s="24" t="s">
        <v>151</v>
      </c>
      <c r="D18" s="24">
        <v>1</v>
      </c>
      <c r="E18" s="28" t="str">
        <f t="shared" si="0"/>
        <v>Detractor</v>
      </c>
      <c r="F18" s="24">
        <v>1</v>
      </c>
      <c r="G18" s="24">
        <v>1</v>
      </c>
      <c r="H18" s="17" t="s">
        <v>234</v>
      </c>
      <c r="I18" s="17" t="s">
        <v>170</v>
      </c>
      <c r="J18" s="17" t="s">
        <v>264</v>
      </c>
    </row>
    <row r="19" spans="1:10" ht="27.75" customHeight="1" x14ac:dyDescent="0.3">
      <c r="A19" s="24" t="s">
        <v>265</v>
      </c>
      <c r="B19" s="30">
        <v>46091</v>
      </c>
      <c r="C19" s="24" t="s">
        <v>250</v>
      </c>
      <c r="D19" s="24">
        <v>6</v>
      </c>
      <c r="E19" s="28" t="str">
        <f t="shared" si="0"/>
        <v>Detractor</v>
      </c>
      <c r="F19" s="24">
        <v>1</v>
      </c>
      <c r="G19" s="24">
        <v>2</v>
      </c>
      <c r="H19" s="17" t="s">
        <v>266</v>
      </c>
      <c r="I19" s="17" t="s">
        <v>170</v>
      </c>
      <c r="J19" s="17" t="s">
        <v>264</v>
      </c>
    </row>
    <row r="20" spans="1:10" ht="27.75" customHeight="1" x14ac:dyDescent="0.3">
      <c r="A20" s="24" t="s">
        <v>267</v>
      </c>
      <c r="B20" s="30">
        <v>46095</v>
      </c>
      <c r="C20" s="24" t="s">
        <v>151</v>
      </c>
      <c r="D20" s="24">
        <v>1</v>
      </c>
      <c r="E20" s="28" t="str">
        <f t="shared" si="0"/>
        <v>Detractor</v>
      </c>
      <c r="F20" s="24">
        <v>3</v>
      </c>
      <c r="G20" s="24">
        <v>2</v>
      </c>
      <c r="H20" s="17" t="s">
        <v>252</v>
      </c>
      <c r="I20" s="17" t="s">
        <v>185</v>
      </c>
      <c r="J20" s="17" t="s">
        <v>268</v>
      </c>
    </row>
    <row r="21" spans="1:10" ht="27.75" customHeight="1" x14ac:dyDescent="0.3">
      <c r="A21" s="24" t="s">
        <v>269</v>
      </c>
      <c r="B21" s="30">
        <v>46069</v>
      </c>
      <c r="C21" s="24" t="s">
        <v>151</v>
      </c>
      <c r="D21" s="24">
        <v>9</v>
      </c>
      <c r="E21" s="26" t="str">
        <f t="shared" si="0"/>
        <v>Promotor</v>
      </c>
      <c r="F21" s="24">
        <v>4</v>
      </c>
      <c r="G21" s="24">
        <v>5</v>
      </c>
      <c r="H21" s="17" t="s">
        <v>259</v>
      </c>
      <c r="I21" s="17" t="s">
        <v>253</v>
      </c>
      <c r="J21" s="17" t="s">
        <v>254</v>
      </c>
    </row>
    <row r="22" spans="1:10" ht="27.75" customHeight="1" x14ac:dyDescent="0.3">
      <c r="A22" s="24" t="s">
        <v>270</v>
      </c>
      <c r="B22" s="30">
        <v>46090</v>
      </c>
      <c r="C22" s="24" t="s">
        <v>240</v>
      </c>
      <c r="D22" s="24">
        <v>4</v>
      </c>
      <c r="E22" s="28" t="str">
        <f t="shared" si="0"/>
        <v>Detractor</v>
      </c>
      <c r="F22" s="24">
        <v>3</v>
      </c>
      <c r="G22" s="24">
        <v>1</v>
      </c>
      <c r="H22" s="17" t="s">
        <v>234</v>
      </c>
      <c r="I22" s="17" t="s">
        <v>185</v>
      </c>
      <c r="J22" s="17" t="s">
        <v>268</v>
      </c>
    </row>
    <row r="23" spans="1:10" ht="27.75" customHeight="1" x14ac:dyDescent="0.3">
      <c r="A23" s="24" t="s">
        <v>271</v>
      </c>
      <c r="B23" s="30">
        <v>46073</v>
      </c>
      <c r="C23" s="24" t="s">
        <v>240</v>
      </c>
      <c r="D23" s="24">
        <v>9</v>
      </c>
      <c r="E23" s="26" t="str">
        <f t="shared" si="0"/>
        <v>Promotor</v>
      </c>
      <c r="F23" s="24">
        <v>5</v>
      </c>
      <c r="G23" s="24">
        <v>5</v>
      </c>
      <c r="H23" s="17" t="s">
        <v>256</v>
      </c>
      <c r="I23" s="17" t="s">
        <v>155</v>
      </c>
      <c r="J23" s="17" t="s">
        <v>243</v>
      </c>
    </row>
    <row r="24" spans="1:10" ht="27.75" customHeight="1" x14ac:dyDescent="0.3">
      <c r="A24" s="24" t="s">
        <v>272</v>
      </c>
      <c r="B24" s="30">
        <v>46102</v>
      </c>
      <c r="C24" s="24" t="s">
        <v>237</v>
      </c>
      <c r="D24" s="24">
        <v>10</v>
      </c>
      <c r="E24" s="26" t="str">
        <f t="shared" si="0"/>
        <v>Promotor</v>
      </c>
      <c r="F24" s="24">
        <v>5</v>
      </c>
      <c r="G24" s="24">
        <v>4</v>
      </c>
      <c r="H24" s="17" t="s">
        <v>241</v>
      </c>
      <c r="I24" s="17" t="s">
        <v>178</v>
      </c>
      <c r="J24" s="17" t="s">
        <v>245</v>
      </c>
    </row>
    <row r="25" spans="1:10" ht="27.75" customHeight="1" x14ac:dyDescent="0.3">
      <c r="A25" s="24" t="s">
        <v>273</v>
      </c>
      <c r="B25" s="30">
        <v>46064</v>
      </c>
      <c r="C25" s="24" t="s">
        <v>240</v>
      </c>
      <c r="D25" s="24">
        <v>9</v>
      </c>
      <c r="E25" s="26" t="str">
        <f t="shared" si="0"/>
        <v>Promotor</v>
      </c>
      <c r="F25" s="24">
        <v>5</v>
      </c>
      <c r="G25" s="24">
        <v>5</v>
      </c>
      <c r="H25" s="17" t="s">
        <v>252</v>
      </c>
      <c r="I25" s="17" t="s">
        <v>155</v>
      </c>
      <c r="J25" s="17" t="s">
        <v>274</v>
      </c>
    </row>
    <row r="26" spans="1:10" ht="27.75" customHeight="1" x14ac:dyDescent="0.3">
      <c r="A26" s="24" t="s">
        <v>275</v>
      </c>
      <c r="B26" s="30">
        <v>46057</v>
      </c>
      <c r="C26" s="24" t="s">
        <v>151</v>
      </c>
      <c r="D26" s="24">
        <v>2</v>
      </c>
      <c r="E26" s="28" t="str">
        <f t="shared" si="0"/>
        <v>Detractor</v>
      </c>
      <c r="F26" s="24">
        <v>3</v>
      </c>
      <c r="G26" s="24">
        <v>2</v>
      </c>
      <c r="H26" s="17" t="s">
        <v>256</v>
      </c>
      <c r="I26" s="17" t="s">
        <v>253</v>
      </c>
      <c r="J26" s="17" t="s">
        <v>276</v>
      </c>
    </row>
    <row r="27" spans="1:10" ht="27.75" customHeight="1" x14ac:dyDescent="0.3">
      <c r="A27" s="24" t="s">
        <v>277</v>
      </c>
      <c r="B27" s="30">
        <v>46102</v>
      </c>
      <c r="C27" s="24" t="s">
        <v>151</v>
      </c>
      <c r="D27" s="24">
        <v>9</v>
      </c>
      <c r="E27" s="26" t="str">
        <f t="shared" si="0"/>
        <v>Promotor</v>
      </c>
      <c r="F27" s="24">
        <v>3</v>
      </c>
      <c r="G27" s="24">
        <v>4</v>
      </c>
      <c r="H27" s="17" t="s">
        <v>266</v>
      </c>
      <c r="I27" s="17" t="s">
        <v>155</v>
      </c>
      <c r="J27" s="17" t="s">
        <v>235</v>
      </c>
    </row>
    <row r="28" spans="1:10" ht="27.75" customHeight="1" x14ac:dyDescent="0.3">
      <c r="A28" s="24" t="s">
        <v>278</v>
      </c>
      <c r="B28" s="30">
        <v>46090</v>
      </c>
      <c r="C28" s="24" t="s">
        <v>250</v>
      </c>
      <c r="D28" s="24">
        <v>8</v>
      </c>
      <c r="E28" s="27" t="str">
        <f t="shared" si="0"/>
        <v>Pasivo</v>
      </c>
      <c r="F28" s="24">
        <v>4</v>
      </c>
      <c r="G28" s="24">
        <v>4</v>
      </c>
      <c r="H28" s="17" t="s">
        <v>241</v>
      </c>
      <c r="I28" s="17" t="s">
        <v>192</v>
      </c>
      <c r="J28" s="17" t="s">
        <v>247</v>
      </c>
    </row>
    <row r="29" spans="1:10" ht="27.75" customHeight="1" x14ac:dyDescent="0.3">
      <c r="A29" s="24" t="s">
        <v>279</v>
      </c>
      <c r="B29" s="30">
        <v>46072</v>
      </c>
      <c r="C29" s="24" t="s">
        <v>237</v>
      </c>
      <c r="D29" s="24">
        <v>7</v>
      </c>
      <c r="E29" s="27" t="str">
        <f t="shared" si="0"/>
        <v>Pasivo</v>
      </c>
      <c r="F29" s="24">
        <v>4</v>
      </c>
      <c r="G29" s="24">
        <v>4</v>
      </c>
      <c r="H29" s="17" t="s">
        <v>266</v>
      </c>
      <c r="I29" s="17" t="s">
        <v>155</v>
      </c>
      <c r="J29" s="17" t="s">
        <v>274</v>
      </c>
    </row>
    <row r="30" spans="1:10" ht="27.75" customHeight="1" x14ac:dyDescent="0.3">
      <c r="A30" s="24" t="s">
        <v>280</v>
      </c>
      <c r="B30" s="30">
        <v>46079</v>
      </c>
      <c r="C30" s="24" t="s">
        <v>240</v>
      </c>
      <c r="D30" s="24">
        <v>10</v>
      </c>
      <c r="E30" s="26" t="str">
        <f t="shared" si="0"/>
        <v>Promotor</v>
      </c>
      <c r="F30" s="24">
        <v>5</v>
      </c>
      <c r="G30" s="24">
        <v>5</v>
      </c>
      <c r="H30" s="17" t="s">
        <v>266</v>
      </c>
      <c r="I30" s="17" t="s">
        <v>178</v>
      </c>
      <c r="J30" s="17" t="s">
        <v>281</v>
      </c>
    </row>
    <row r="31" spans="1:10" ht="27.75" customHeight="1" x14ac:dyDescent="0.3">
      <c r="A31" s="24" t="s">
        <v>282</v>
      </c>
      <c r="B31" s="30">
        <v>46095</v>
      </c>
      <c r="C31" s="24" t="s">
        <v>250</v>
      </c>
      <c r="D31" s="24">
        <v>2</v>
      </c>
      <c r="E31" s="28" t="str">
        <f t="shared" si="0"/>
        <v>Detractor</v>
      </c>
      <c r="F31" s="24">
        <v>1</v>
      </c>
      <c r="G31" s="24">
        <v>3</v>
      </c>
      <c r="H31" s="17" t="s">
        <v>234</v>
      </c>
      <c r="I31" s="17" t="s">
        <v>178</v>
      </c>
      <c r="J31" s="17" t="s">
        <v>245</v>
      </c>
    </row>
    <row r="32" spans="1:10" ht="27.75" customHeight="1" x14ac:dyDescent="0.3">
      <c r="A32" s="24" t="s">
        <v>283</v>
      </c>
      <c r="B32" s="30">
        <v>46098</v>
      </c>
      <c r="C32" s="24" t="s">
        <v>240</v>
      </c>
      <c r="D32" s="24">
        <v>0</v>
      </c>
      <c r="E32" s="28" t="str">
        <f t="shared" si="0"/>
        <v>Detractor</v>
      </c>
      <c r="F32" s="24">
        <v>3</v>
      </c>
      <c r="G32" s="24">
        <v>1</v>
      </c>
      <c r="H32" s="17" t="s">
        <v>234</v>
      </c>
      <c r="I32" s="17" t="s">
        <v>178</v>
      </c>
      <c r="J32" s="17" t="s">
        <v>245</v>
      </c>
    </row>
    <row r="33" spans="1:10" ht="27.75" customHeight="1" x14ac:dyDescent="0.3">
      <c r="A33" s="24" t="s">
        <v>284</v>
      </c>
      <c r="B33" s="30">
        <v>46089</v>
      </c>
      <c r="C33" s="24" t="s">
        <v>240</v>
      </c>
      <c r="D33" s="24">
        <v>7</v>
      </c>
      <c r="E33" s="27" t="str">
        <f t="shared" si="0"/>
        <v>Pasivo</v>
      </c>
      <c r="F33" s="24">
        <v>3</v>
      </c>
      <c r="G33" s="24">
        <v>3</v>
      </c>
      <c r="H33" s="17" t="s">
        <v>241</v>
      </c>
      <c r="I33" s="17" t="s">
        <v>185</v>
      </c>
      <c r="J33" s="17" t="s">
        <v>268</v>
      </c>
    </row>
    <row r="34" spans="1:10" ht="27.75" customHeight="1" x14ac:dyDescent="0.3">
      <c r="A34" s="24" t="s">
        <v>285</v>
      </c>
      <c r="B34" s="30">
        <v>46111</v>
      </c>
      <c r="C34" s="24" t="s">
        <v>240</v>
      </c>
      <c r="D34" s="24">
        <v>7</v>
      </c>
      <c r="E34" s="27" t="str">
        <f t="shared" si="0"/>
        <v>Pasivo</v>
      </c>
      <c r="F34" s="24">
        <v>3</v>
      </c>
      <c r="G34" s="24">
        <v>3</v>
      </c>
      <c r="H34" s="17" t="s">
        <v>234</v>
      </c>
      <c r="I34" s="17" t="s">
        <v>178</v>
      </c>
      <c r="J34" s="17" t="s">
        <v>245</v>
      </c>
    </row>
    <row r="35" spans="1:10" ht="27.75" customHeight="1" x14ac:dyDescent="0.3">
      <c r="A35" s="24" t="s">
        <v>286</v>
      </c>
      <c r="B35" s="30">
        <v>46076</v>
      </c>
      <c r="C35" s="24" t="s">
        <v>151</v>
      </c>
      <c r="D35" s="24">
        <v>6</v>
      </c>
      <c r="E35" s="28" t="str">
        <f t="shared" si="0"/>
        <v>Detractor</v>
      </c>
      <c r="F35" s="24">
        <v>1</v>
      </c>
      <c r="G35" s="24">
        <v>3</v>
      </c>
      <c r="H35" s="17" t="s">
        <v>234</v>
      </c>
      <c r="I35" s="17" t="s">
        <v>192</v>
      </c>
      <c r="J35" s="17" t="s">
        <v>247</v>
      </c>
    </row>
    <row r="36" spans="1:10" ht="27.75" customHeight="1" x14ac:dyDescent="0.3">
      <c r="A36" s="24" t="s">
        <v>287</v>
      </c>
      <c r="B36" s="30">
        <v>46064</v>
      </c>
      <c r="C36" s="24" t="s">
        <v>237</v>
      </c>
      <c r="D36" s="24">
        <v>9</v>
      </c>
      <c r="E36" s="26" t="str">
        <f t="shared" si="0"/>
        <v>Promotor</v>
      </c>
      <c r="F36" s="24">
        <v>3</v>
      </c>
      <c r="G36" s="24">
        <v>5</v>
      </c>
      <c r="H36" s="17" t="s">
        <v>241</v>
      </c>
      <c r="I36" s="17" t="s">
        <v>192</v>
      </c>
      <c r="J36" s="17" t="s">
        <v>257</v>
      </c>
    </row>
    <row r="37" spans="1:10" ht="27.75" customHeight="1" x14ac:dyDescent="0.3">
      <c r="A37" s="24" t="s">
        <v>288</v>
      </c>
      <c r="B37" s="30">
        <v>46069</v>
      </c>
      <c r="C37" s="24" t="s">
        <v>250</v>
      </c>
      <c r="D37" s="24">
        <v>5</v>
      </c>
      <c r="E37" s="28" t="str">
        <f t="shared" si="0"/>
        <v>Detractor</v>
      </c>
      <c r="F37" s="24">
        <v>3</v>
      </c>
      <c r="G37" s="24">
        <v>2</v>
      </c>
      <c r="H37" s="17" t="s">
        <v>241</v>
      </c>
      <c r="I37" s="17" t="s">
        <v>170</v>
      </c>
      <c r="J37" s="17" t="s">
        <v>260</v>
      </c>
    </row>
    <row r="38" spans="1:10" ht="27.75" customHeight="1" x14ac:dyDescent="0.3">
      <c r="A38" s="24" t="s">
        <v>289</v>
      </c>
      <c r="B38" s="30">
        <v>46109</v>
      </c>
      <c r="C38" s="24" t="s">
        <v>250</v>
      </c>
      <c r="D38" s="24">
        <v>7</v>
      </c>
      <c r="E38" s="27" t="str">
        <f t="shared" ref="E38:E69" si="1">IF(D38&gt;=9,"Promotor",IF(D38&gt;=7,"Pasivo","Detractor"))</f>
        <v>Pasivo</v>
      </c>
      <c r="F38" s="24">
        <v>3</v>
      </c>
      <c r="G38" s="24">
        <v>3</v>
      </c>
      <c r="H38" s="17" t="s">
        <v>266</v>
      </c>
      <c r="I38" s="17" t="s">
        <v>155</v>
      </c>
      <c r="J38" s="17" t="s">
        <v>235</v>
      </c>
    </row>
    <row r="39" spans="1:10" ht="27.75" customHeight="1" x14ac:dyDescent="0.3">
      <c r="A39" s="24" t="s">
        <v>290</v>
      </c>
      <c r="B39" s="30">
        <v>46058</v>
      </c>
      <c r="C39" s="24" t="s">
        <v>240</v>
      </c>
      <c r="D39" s="24">
        <v>1</v>
      </c>
      <c r="E39" s="28" t="str">
        <f t="shared" si="1"/>
        <v>Detractor</v>
      </c>
      <c r="F39" s="24">
        <v>3</v>
      </c>
      <c r="G39" s="24">
        <v>2</v>
      </c>
      <c r="H39" s="17" t="s">
        <v>256</v>
      </c>
      <c r="I39" s="17" t="s">
        <v>185</v>
      </c>
      <c r="J39" s="17" t="s">
        <v>268</v>
      </c>
    </row>
    <row r="40" spans="1:10" ht="27.75" customHeight="1" x14ac:dyDescent="0.3">
      <c r="A40" s="24" t="s">
        <v>291</v>
      </c>
      <c r="B40" s="30">
        <v>46110</v>
      </c>
      <c r="C40" s="24" t="s">
        <v>237</v>
      </c>
      <c r="D40" s="24">
        <v>10</v>
      </c>
      <c r="E40" s="26" t="str">
        <f t="shared" si="1"/>
        <v>Promotor</v>
      </c>
      <c r="F40" s="24">
        <v>5</v>
      </c>
      <c r="G40" s="24">
        <v>4</v>
      </c>
      <c r="H40" s="17" t="s">
        <v>256</v>
      </c>
      <c r="I40" s="17" t="s">
        <v>155</v>
      </c>
      <c r="J40" s="17" t="s">
        <v>235</v>
      </c>
    </row>
    <row r="41" spans="1:10" ht="27.75" customHeight="1" x14ac:dyDescent="0.3">
      <c r="A41" s="24" t="s">
        <v>292</v>
      </c>
      <c r="B41" s="30">
        <v>46070</v>
      </c>
      <c r="C41" s="24" t="s">
        <v>151</v>
      </c>
      <c r="D41" s="24">
        <v>7</v>
      </c>
      <c r="E41" s="27" t="str">
        <f t="shared" si="1"/>
        <v>Pasivo</v>
      </c>
      <c r="F41" s="24">
        <v>5</v>
      </c>
      <c r="G41" s="24">
        <v>2</v>
      </c>
      <c r="H41" s="17" t="s">
        <v>259</v>
      </c>
      <c r="I41" s="17" t="s">
        <v>192</v>
      </c>
      <c r="J41" s="17" t="s">
        <v>293</v>
      </c>
    </row>
    <row r="42" spans="1:10" ht="27.75" customHeight="1" x14ac:dyDescent="0.3">
      <c r="A42" s="24" t="s">
        <v>294</v>
      </c>
      <c r="B42" s="30">
        <v>46084</v>
      </c>
      <c r="C42" s="24" t="s">
        <v>237</v>
      </c>
      <c r="D42" s="24">
        <v>9</v>
      </c>
      <c r="E42" s="26" t="str">
        <f t="shared" si="1"/>
        <v>Promotor</v>
      </c>
      <c r="F42" s="24">
        <v>5</v>
      </c>
      <c r="G42" s="24">
        <v>5</v>
      </c>
      <c r="H42" s="17" t="s">
        <v>266</v>
      </c>
      <c r="I42" s="17" t="s">
        <v>178</v>
      </c>
      <c r="J42" s="17" t="s">
        <v>245</v>
      </c>
    </row>
    <row r="43" spans="1:10" ht="27.75" customHeight="1" x14ac:dyDescent="0.3">
      <c r="A43" s="24" t="s">
        <v>295</v>
      </c>
      <c r="B43" s="30">
        <v>46084</v>
      </c>
      <c r="C43" s="24" t="s">
        <v>151</v>
      </c>
      <c r="D43" s="24">
        <v>8</v>
      </c>
      <c r="E43" s="27" t="str">
        <f t="shared" si="1"/>
        <v>Pasivo</v>
      </c>
      <c r="F43" s="24">
        <v>2</v>
      </c>
      <c r="G43" s="24">
        <v>2</v>
      </c>
      <c r="H43" s="17" t="s">
        <v>266</v>
      </c>
      <c r="I43" s="17" t="s">
        <v>155</v>
      </c>
      <c r="J43" s="17" t="s">
        <v>274</v>
      </c>
    </row>
    <row r="44" spans="1:10" ht="27.75" customHeight="1" x14ac:dyDescent="0.3">
      <c r="A44" s="24" t="s">
        <v>296</v>
      </c>
      <c r="B44" s="30">
        <v>46061</v>
      </c>
      <c r="C44" s="24" t="s">
        <v>237</v>
      </c>
      <c r="D44" s="24">
        <v>9</v>
      </c>
      <c r="E44" s="26" t="str">
        <f t="shared" si="1"/>
        <v>Promotor</v>
      </c>
      <c r="F44" s="24">
        <v>3</v>
      </c>
      <c r="G44" s="24">
        <v>3</v>
      </c>
      <c r="H44" s="17" t="s">
        <v>266</v>
      </c>
      <c r="I44" s="17" t="s">
        <v>155</v>
      </c>
      <c r="J44" s="17" t="s">
        <v>235</v>
      </c>
    </row>
    <row r="45" spans="1:10" ht="27.75" customHeight="1" x14ac:dyDescent="0.3">
      <c r="A45" s="24" t="s">
        <v>297</v>
      </c>
      <c r="B45" s="30">
        <v>46111</v>
      </c>
      <c r="C45" s="24" t="s">
        <v>151</v>
      </c>
      <c r="D45" s="24">
        <v>6</v>
      </c>
      <c r="E45" s="28" t="str">
        <f t="shared" si="1"/>
        <v>Detractor</v>
      </c>
      <c r="F45" s="24">
        <v>3</v>
      </c>
      <c r="G45" s="24">
        <v>1</v>
      </c>
      <c r="H45" s="17" t="s">
        <v>259</v>
      </c>
      <c r="I45" s="17" t="s">
        <v>178</v>
      </c>
      <c r="J45" s="17" t="s">
        <v>262</v>
      </c>
    </row>
    <row r="46" spans="1:10" ht="27.75" customHeight="1" x14ac:dyDescent="0.3">
      <c r="A46" s="24" t="s">
        <v>298</v>
      </c>
      <c r="B46" s="30">
        <v>46081</v>
      </c>
      <c r="C46" s="24" t="s">
        <v>250</v>
      </c>
      <c r="D46" s="24">
        <v>4</v>
      </c>
      <c r="E46" s="28" t="str">
        <f t="shared" si="1"/>
        <v>Detractor</v>
      </c>
      <c r="F46" s="24">
        <v>2</v>
      </c>
      <c r="G46" s="24">
        <v>3</v>
      </c>
      <c r="H46" s="17" t="s">
        <v>256</v>
      </c>
      <c r="I46" s="17" t="s">
        <v>178</v>
      </c>
      <c r="J46" s="17" t="s">
        <v>262</v>
      </c>
    </row>
    <row r="47" spans="1:10" ht="27.75" customHeight="1" x14ac:dyDescent="0.3">
      <c r="A47" s="24" t="s">
        <v>299</v>
      </c>
      <c r="B47" s="30">
        <v>46066</v>
      </c>
      <c r="C47" s="24" t="s">
        <v>151</v>
      </c>
      <c r="D47" s="24">
        <v>7</v>
      </c>
      <c r="E47" s="27" t="str">
        <f t="shared" si="1"/>
        <v>Pasivo</v>
      </c>
      <c r="F47" s="24">
        <v>2</v>
      </c>
      <c r="G47" s="24">
        <v>3</v>
      </c>
      <c r="H47" s="17" t="s">
        <v>259</v>
      </c>
      <c r="I47" s="17" t="s">
        <v>155</v>
      </c>
      <c r="J47" s="17" t="s">
        <v>235</v>
      </c>
    </row>
    <row r="48" spans="1:10" ht="27.75" customHeight="1" x14ac:dyDescent="0.3">
      <c r="A48" s="24" t="s">
        <v>300</v>
      </c>
      <c r="B48" s="30">
        <v>46056</v>
      </c>
      <c r="C48" s="24" t="s">
        <v>151</v>
      </c>
      <c r="D48" s="24">
        <v>1</v>
      </c>
      <c r="E48" s="28" t="str">
        <f t="shared" si="1"/>
        <v>Detractor</v>
      </c>
      <c r="F48" s="24">
        <v>1</v>
      </c>
      <c r="G48" s="24">
        <v>2</v>
      </c>
      <c r="H48" s="17" t="s">
        <v>266</v>
      </c>
      <c r="I48" s="17" t="s">
        <v>192</v>
      </c>
      <c r="J48" s="17" t="s">
        <v>247</v>
      </c>
    </row>
    <row r="49" spans="1:10" ht="27.75" customHeight="1" x14ac:dyDescent="0.3">
      <c r="A49" s="24" t="s">
        <v>301</v>
      </c>
      <c r="B49" s="30">
        <v>46104</v>
      </c>
      <c r="C49" s="24" t="s">
        <v>237</v>
      </c>
      <c r="D49" s="24">
        <v>7</v>
      </c>
      <c r="E49" s="27" t="str">
        <f t="shared" si="1"/>
        <v>Pasivo</v>
      </c>
      <c r="F49" s="24">
        <v>4</v>
      </c>
      <c r="G49" s="24">
        <v>4</v>
      </c>
      <c r="H49" s="17" t="s">
        <v>252</v>
      </c>
      <c r="I49" s="17" t="s">
        <v>192</v>
      </c>
      <c r="J49" s="17" t="s">
        <v>293</v>
      </c>
    </row>
    <row r="50" spans="1:10" ht="27.75" customHeight="1" x14ac:dyDescent="0.3">
      <c r="A50" s="24" t="s">
        <v>302</v>
      </c>
      <c r="B50" s="30">
        <v>46114</v>
      </c>
      <c r="C50" s="24" t="s">
        <v>250</v>
      </c>
      <c r="D50" s="24">
        <v>6</v>
      </c>
      <c r="E50" s="28" t="str">
        <f t="shared" si="1"/>
        <v>Detractor</v>
      </c>
      <c r="F50" s="24">
        <v>2</v>
      </c>
      <c r="G50" s="24">
        <v>2</v>
      </c>
      <c r="H50" s="17" t="s">
        <v>234</v>
      </c>
      <c r="I50" s="17" t="s">
        <v>185</v>
      </c>
      <c r="J50" s="17" t="s">
        <v>303</v>
      </c>
    </row>
    <row r="51" spans="1:10" ht="27.75" customHeight="1" x14ac:dyDescent="0.3">
      <c r="A51" s="24" t="s">
        <v>304</v>
      </c>
      <c r="B51" s="30">
        <v>46059</v>
      </c>
      <c r="C51" s="24" t="s">
        <v>250</v>
      </c>
      <c r="D51" s="24">
        <v>3</v>
      </c>
      <c r="E51" s="28" t="str">
        <f t="shared" si="1"/>
        <v>Detractor</v>
      </c>
      <c r="F51" s="24">
        <v>2</v>
      </c>
      <c r="G51" s="24">
        <v>2</v>
      </c>
      <c r="H51" s="17" t="s">
        <v>259</v>
      </c>
      <c r="I51" s="17" t="s">
        <v>170</v>
      </c>
      <c r="J51" s="17" t="s">
        <v>260</v>
      </c>
    </row>
    <row r="52" spans="1:10" ht="27.75" customHeight="1" x14ac:dyDescent="0.3">
      <c r="A52" s="24" t="s">
        <v>305</v>
      </c>
      <c r="B52" s="30">
        <v>46092</v>
      </c>
      <c r="C52" s="24" t="s">
        <v>237</v>
      </c>
      <c r="D52" s="24">
        <v>9</v>
      </c>
      <c r="E52" s="26" t="str">
        <f t="shared" si="1"/>
        <v>Promotor</v>
      </c>
      <c r="F52" s="24">
        <v>5</v>
      </c>
      <c r="G52" s="24">
        <v>5</v>
      </c>
      <c r="H52" s="17" t="s">
        <v>259</v>
      </c>
      <c r="I52" s="17" t="s">
        <v>155</v>
      </c>
      <c r="J52" s="17" t="s">
        <v>235</v>
      </c>
    </row>
    <row r="53" spans="1:10" ht="27.75" customHeight="1" x14ac:dyDescent="0.3">
      <c r="A53" s="24" t="s">
        <v>306</v>
      </c>
      <c r="B53" s="30">
        <v>46067</v>
      </c>
      <c r="C53" s="24" t="s">
        <v>240</v>
      </c>
      <c r="D53" s="24">
        <v>10</v>
      </c>
      <c r="E53" s="26" t="str">
        <f t="shared" si="1"/>
        <v>Promotor</v>
      </c>
      <c r="F53" s="24">
        <v>5</v>
      </c>
      <c r="G53" s="24">
        <v>4</v>
      </c>
      <c r="H53" s="17" t="s">
        <v>256</v>
      </c>
      <c r="I53" s="17" t="s">
        <v>155</v>
      </c>
      <c r="J53" s="17" t="s">
        <v>243</v>
      </c>
    </row>
    <row r="54" spans="1:10" ht="27.75" customHeight="1" x14ac:dyDescent="0.3">
      <c r="A54" s="24" t="s">
        <v>307</v>
      </c>
      <c r="B54" s="30">
        <v>46054</v>
      </c>
      <c r="C54" s="24" t="s">
        <v>250</v>
      </c>
      <c r="D54" s="24">
        <v>8</v>
      </c>
      <c r="E54" s="27" t="str">
        <f t="shared" si="1"/>
        <v>Pasivo</v>
      </c>
      <c r="F54" s="24">
        <v>4</v>
      </c>
      <c r="G54" s="24">
        <v>4</v>
      </c>
      <c r="H54" s="17" t="s">
        <v>234</v>
      </c>
      <c r="I54" s="17" t="s">
        <v>253</v>
      </c>
      <c r="J54" s="17" t="s">
        <v>276</v>
      </c>
    </row>
    <row r="55" spans="1:10" ht="27.75" customHeight="1" x14ac:dyDescent="0.3">
      <c r="A55" s="24" t="s">
        <v>308</v>
      </c>
      <c r="B55" s="30">
        <v>46096</v>
      </c>
      <c r="C55" s="24" t="s">
        <v>250</v>
      </c>
      <c r="D55" s="24">
        <v>8</v>
      </c>
      <c r="E55" s="27" t="str">
        <f t="shared" si="1"/>
        <v>Pasivo</v>
      </c>
      <c r="F55" s="24">
        <v>4</v>
      </c>
      <c r="G55" s="24">
        <v>4</v>
      </c>
      <c r="H55" s="17" t="s">
        <v>252</v>
      </c>
      <c r="I55" s="17" t="s">
        <v>155</v>
      </c>
      <c r="J55" s="17" t="s">
        <v>274</v>
      </c>
    </row>
  </sheetData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32" customWidth="1"/>
    <col min="4" max="4" width="38" customWidth="1"/>
    <col min="5" max="5" width="18" customWidth="1"/>
    <col min="6" max="6" width="34" customWidth="1"/>
  </cols>
  <sheetData>
    <row r="1" spans="1:6" ht="25.5" customHeight="1" x14ac:dyDescent="0.3">
      <c r="A1" s="14" t="s">
        <v>309</v>
      </c>
      <c r="B1" s="14"/>
      <c r="C1" s="14"/>
      <c r="D1" s="14"/>
      <c r="E1" s="14"/>
      <c r="F1" s="14"/>
    </row>
    <row r="2" spans="1:6" ht="15.75" customHeight="1" x14ac:dyDescent="0.3">
      <c r="A2" s="13" t="s">
        <v>310</v>
      </c>
      <c r="B2" s="13"/>
      <c r="C2" s="13"/>
      <c r="D2" s="13"/>
      <c r="E2" s="13"/>
      <c r="F2" s="13"/>
    </row>
    <row r="3" spans="1:6" ht="15" customHeight="1" x14ac:dyDescent="0.3">
      <c r="A3" s="4" t="s">
        <v>311</v>
      </c>
      <c r="B3" s="4"/>
      <c r="C3" s="4"/>
      <c r="D3" s="4"/>
      <c r="E3" s="4"/>
      <c r="F3" s="4"/>
    </row>
    <row r="4" spans="1:6" ht="15.6" x14ac:dyDescent="0.3">
      <c r="A4" s="15" t="s">
        <v>312</v>
      </c>
    </row>
    <row r="6" spans="1:6" ht="27.6" x14ac:dyDescent="0.3">
      <c r="A6" s="16" t="s">
        <v>313</v>
      </c>
      <c r="B6" s="16" t="s">
        <v>314</v>
      </c>
      <c r="C6" s="16" t="s">
        <v>315</v>
      </c>
      <c r="D6" s="16" t="s">
        <v>316</v>
      </c>
    </row>
    <row r="7" spans="1:6" ht="78" customHeight="1" x14ac:dyDescent="0.3">
      <c r="A7" s="17" t="s">
        <v>317</v>
      </c>
      <c r="B7" s="31">
        <f>COUNTA('Reseñas y Encuesta'!H5:H17)</f>
        <v>13</v>
      </c>
      <c r="C7" s="22" t="s">
        <v>318</v>
      </c>
      <c r="D7" s="17" t="s">
        <v>319</v>
      </c>
    </row>
    <row r="8" spans="1:6" ht="78" customHeight="1" x14ac:dyDescent="0.3">
      <c r="A8" s="17" t="s">
        <v>320</v>
      </c>
      <c r="B8" s="32">
        <f>AVERAGE('Reseñas y Encuesta'!D5:D17)</f>
        <v>2.7272727272727271</v>
      </c>
      <c r="C8" s="22" t="s">
        <v>321</v>
      </c>
      <c r="D8" s="17" t="str">
        <f>IF(B8&gt;=4.5,"Excelente: la percepción general es muy positiva.",IF(B8&gt;=4,"Muy buena, aunque con margen de mejora.",IF(B8&gt;=3,"Regular: hay señales de insatisfacción relevantes.","Crítica: predominan las experiencias negativas."))) &amp; "  Resultado actual: " &amp; TEXT(B8,"0.0") &amp; "/5."</f>
        <v>Crítica: predominan las experiencias negativas.  Resultado actual: 2.7/5.</v>
      </c>
    </row>
    <row r="9" spans="1:6" ht="78" customHeight="1" x14ac:dyDescent="0.3">
      <c r="A9" s="17" t="s">
        <v>322</v>
      </c>
      <c r="B9" s="33">
        <f>COUNTIF('Reseñas y Encuesta'!H5:H17,"Positivo")/COUNTA('Reseñas y Encuesta'!H5:H17)</f>
        <v>0.23076923076923078</v>
      </c>
      <c r="C9" s="22" t="s">
        <v>323</v>
      </c>
      <c r="D9" s="17" t="str">
        <f>IF(B9&gt;=0.6,"Alta: predominan las experiencias positivas.",IF(B9&gt;=0.4,"Moderada.","Baja: conviene reforzar la comunicación de los puntos fuertes.")) &amp; "  Resultado actual: " &amp; TEXT(B9,"0%")</f>
        <v>Baja: conviene reforzar la comunicación de los puntos fuertes.  Resultado actual: 23%</v>
      </c>
    </row>
    <row r="10" spans="1:6" ht="78" customHeight="1" x14ac:dyDescent="0.3">
      <c r="A10" s="17" t="s">
        <v>324</v>
      </c>
      <c r="B10" s="33">
        <f>COUNTIF('Reseñas y Encuesta'!H5:H17,"Negativo")/COUNTA('Reseñas y Encuesta'!H5:H17)</f>
        <v>0.61538461538461542</v>
      </c>
      <c r="C10" s="22" t="s">
        <v>325</v>
      </c>
      <c r="D10" s="17" t="str">
        <f>IF(B10&gt;=0.5,"Alta: más de la mitad de la muestra es negativa (recordar que son reseñas construidas para ilustrar cada hallazgo, no una muestra real).",IF(B10&gt;=0.25,"Moderada: hay puntos de fricción a atender.","Baja.")) &amp; "  Resultado actual: " &amp; TEXT(B10,"0%")</f>
        <v>Alta: más de la mitad de la muestra es negativa (recordar que son reseñas construidas para ilustrar cada hallazgo, no una muestra real).  Resultado actual: 62%</v>
      </c>
    </row>
    <row r="11" spans="1:6" ht="78" customHeight="1" x14ac:dyDescent="0.3">
      <c r="A11" s="17" t="s">
        <v>326</v>
      </c>
      <c r="B11" s="33">
        <f>COUNTIF('Reseñas y Encuesta'!H5:H17,"Mixto")/COUNTA('Reseñas y Encuesta'!H5:H17)</f>
        <v>0.15384615384615385</v>
      </c>
      <c r="C11" s="22" t="s">
        <v>327</v>
      </c>
      <c r="D11" s="17" t="str">
        <f>IF(B11&gt;=0.2,"Relevante: conviene revisar qué puntos de contacto generan esa ambivalencia.","Poco relevante.") &amp; "  Resultado actual: " &amp; TEXT(B11,"0%")</f>
        <v>Poco relevante.  Resultado actual: 15%</v>
      </c>
    </row>
    <row r="13" spans="1:6" x14ac:dyDescent="0.3">
      <c r="A13" s="18" t="s">
        <v>328</v>
      </c>
    </row>
    <row r="14" spans="1:6" ht="27.6" x14ac:dyDescent="0.3">
      <c r="A14" s="16" t="s">
        <v>329</v>
      </c>
      <c r="B14" s="16" t="s">
        <v>330</v>
      </c>
      <c r="C14" s="16" t="s">
        <v>331</v>
      </c>
      <c r="D14" s="16" t="s">
        <v>332</v>
      </c>
      <c r="E14" s="16" t="s">
        <v>333</v>
      </c>
      <c r="F14" s="16" t="s">
        <v>334</v>
      </c>
    </row>
    <row r="15" spans="1:6" ht="60" customHeight="1" x14ac:dyDescent="0.3">
      <c r="A15" s="17" t="s">
        <v>155</v>
      </c>
      <c r="B15" s="24">
        <f>COUNTIF('Reseñas y Encuesta'!G5:G17,A15)</f>
        <v>4</v>
      </c>
      <c r="C15" s="24">
        <f>COUNTIF('Respuestas Encuesta'!I6:I55,A15)</f>
        <v>17</v>
      </c>
      <c r="D15" s="31">
        <f>B15+C15</f>
        <v>21</v>
      </c>
      <c r="E15" s="34">
        <f>D15/63</f>
        <v>0.33333333333333331</v>
      </c>
      <c r="F15" s="22" t="s">
        <v>335</v>
      </c>
    </row>
    <row r="16" spans="1:6" ht="60" customHeight="1" x14ac:dyDescent="0.3">
      <c r="A16" s="17" t="s">
        <v>170</v>
      </c>
      <c r="B16" s="24">
        <f>COUNTIF('Reseñas y Encuesta'!G5:G17,A16)</f>
        <v>2</v>
      </c>
      <c r="C16" s="24">
        <f>COUNTIF('Respuestas Encuesta'!I6:I55,A16)</f>
        <v>6</v>
      </c>
      <c r="D16" s="31">
        <f>B16+C16</f>
        <v>8</v>
      </c>
      <c r="E16" s="34">
        <f>D16/63</f>
        <v>0.12698412698412698</v>
      </c>
      <c r="F16" s="22" t="s">
        <v>336</v>
      </c>
    </row>
    <row r="17" spans="1:6" ht="60" customHeight="1" x14ac:dyDescent="0.3">
      <c r="A17" s="17" t="s">
        <v>178</v>
      </c>
      <c r="B17" s="24">
        <f>COUNTIF('Reseñas y Encuesta'!G5:G17,A17)</f>
        <v>2</v>
      </c>
      <c r="C17" s="24">
        <f>COUNTIF('Respuestas Encuesta'!I6:I55,A17)</f>
        <v>10</v>
      </c>
      <c r="D17" s="31">
        <f>B17+C17</f>
        <v>12</v>
      </c>
      <c r="E17" s="34">
        <f>D17/63</f>
        <v>0.19047619047619047</v>
      </c>
      <c r="F17" s="22" t="s">
        <v>337</v>
      </c>
    </row>
    <row r="18" spans="1:6" ht="60" customHeight="1" x14ac:dyDescent="0.3">
      <c r="A18" s="17" t="s">
        <v>185</v>
      </c>
      <c r="B18" s="24">
        <f>COUNTIF('Reseñas y Encuesta'!G5:G17,A18)</f>
        <v>2</v>
      </c>
      <c r="C18" s="24">
        <f>COUNTIF('Respuestas Encuesta'!I6:I55,A18)</f>
        <v>5</v>
      </c>
      <c r="D18" s="31">
        <f>B18+C18</f>
        <v>7</v>
      </c>
      <c r="E18" s="34">
        <f>D18/63</f>
        <v>0.1111111111111111</v>
      </c>
      <c r="F18" s="22" t="s">
        <v>338</v>
      </c>
    </row>
    <row r="19" spans="1:6" ht="60" customHeight="1" x14ac:dyDescent="0.3">
      <c r="A19" s="17" t="s">
        <v>192</v>
      </c>
      <c r="B19" s="24">
        <f>COUNTIF('Reseñas y Encuesta'!G5:G17,A19)</f>
        <v>3</v>
      </c>
      <c r="C19" s="24">
        <f>COUNTIF('Respuestas Encuesta'!I6:I55,A19)</f>
        <v>8</v>
      </c>
      <c r="D19" s="31">
        <f>B19+C19</f>
        <v>11</v>
      </c>
      <c r="E19" s="34">
        <f>D19/63</f>
        <v>0.17460317460317459</v>
      </c>
      <c r="F19" s="22" t="s">
        <v>339</v>
      </c>
    </row>
    <row r="22" spans="1:6" ht="15.6" x14ac:dyDescent="0.3">
      <c r="A22" s="15" t="s">
        <v>340</v>
      </c>
    </row>
    <row r="23" spans="1:6" ht="30" customHeight="1" x14ac:dyDescent="0.3">
      <c r="A23" s="11" t="s">
        <v>341</v>
      </c>
      <c r="B23" s="11"/>
      <c r="C23" s="11"/>
      <c r="D23" s="11"/>
      <c r="E23" s="11"/>
      <c r="F23" s="11"/>
    </row>
    <row r="25" spans="1:6" ht="27.6" x14ac:dyDescent="0.3">
      <c r="A25" s="16" t="s">
        <v>342</v>
      </c>
      <c r="B25" s="16" t="s">
        <v>343</v>
      </c>
      <c r="C25" s="16" t="s">
        <v>344</v>
      </c>
      <c r="D25" s="16" t="s">
        <v>345</v>
      </c>
    </row>
    <row r="26" spans="1:6" ht="49.5" customHeight="1" x14ac:dyDescent="0.3">
      <c r="A26" s="17" t="s">
        <v>346</v>
      </c>
      <c r="B26" s="24">
        <f>COUNTIF('Respuestas Encuesta'!E6:E55,"Promotor")</f>
        <v>15</v>
      </c>
      <c r="C26" s="34">
        <f>IFERROR(B26/SUM($B$26:$B$28),0)</f>
        <v>0.3</v>
      </c>
      <c r="D26" s="22" t="s">
        <v>347</v>
      </c>
    </row>
    <row r="27" spans="1:6" ht="49.5" customHeight="1" x14ac:dyDescent="0.3">
      <c r="A27" s="17" t="s">
        <v>348</v>
      </c>
      <c r="B27" s="24">
        <f>COUNTIF('Respuestas Encuesta'!E6:E55,"Pasivo")</f>
        <v>15</v>
      </c>
      <c r="C27" s="34">
        <f>IFERROR(B27/SUM($B$26:$B$28),0)</f>
        <v>0.3</v>
      </c>
      <c r="D27" s="22" t="s">
        <v>349</v>
      </c>
    </row>
    <row r="28" spans="1:6" ht="49.5" customHeight="1" x14ac:dyDescent="0.3">
      <c r="A28" s="17" t="s">
        <v>350</v>
      </c>
      <c r="B28" s="24">
        <f>COUNTIF('Respuestas Encuesta'!E6:E55,"Detractor")</f>
        <v>20</v>
      </c>
      <c r="C28" s="34">
        <f>IFERROR(B28/SUM($B$26:$B$28),0)</f>
        <v>0.4</v>
      </c>
      <c r="D28" s="22" t="s">
        <v>351</v>
      </c>
    </row>
    <row r="29" spans="1:6" ht="22.35" customHeight="1" x14ac:dyDescent="0.3">
      <c r="A29" s="35" t="s">
        <v>352</v>
      </c>
      <c r="B29" s="31">
        <f>SUM(B26:B28)</f>
        <v>50</v>
      </c>
      <c r="C29" s="36"/>
      <c r="D29" s="3" t="s">
        <v>353</v>
      </c>
      <c r="E29" s="3"/>
      <c r="F29" s="3"/>
    </row>
    <row r="31" spans="1:6" ht="54.75" customHeight="1" x14ac:dyDescent="0.3">
      <c r="A31" s="35" t="s">
        <v>354</v>
      </c>
      <c r="B31" s="37">
        <f>IF(B29=0,"Cargar datos",(B26-B28)/B29)</f>
        <v>-0.1</v>
      </c>
      <c r="C31" s="2" t="str">
        <f>IF(ISNUMBER(B31),IF(B31&gt;=0.7,"Excelente (nivel de clase mundial).",IF(B31&gt;=0.3,"Muy bueno.",IF(B31&gt;=0,"Aceptable, con oportunidades de mejora.","Crítico: predominan los detractores."))) &amp; "  Resultado actual: " &amp; TEXT(B31,"0%") &amp; "  |  Escala de referencia: menor a 0% necesita mejorar · 0%-30% bueno · 30%-70% muy bueno · mayor a 70% excelente.","Cargar los datos de la encuesta para calcular el NPS.")</f>
        <v>Crítico: predominan los detractores.  Resultado actual: -10%  |  Escala de referencia: menor a 0% necesita mejorar · 0%-30% bueno · 30%-70% muy bueno · mayor a 70% excelente.</v>
      </c>
      <c r="D31" s="2"/>
      <c r="E31" s="2"/>
      <c r="F31" s="2"/>
    </row>
    <row r="33" spans="1:6" ht="15.6" x14ac:dyDescent="0.3">
      <c r="A33" s="15" t="s">
        <v>355</v>
      </c>
    </row>
    <row r="34" spans="1:6" ht="30" customHeight="1" x14ac:dyDescent="0.3">
      <c r="A34" s="11" t="s">
        <v>356</v>
      </c>
      <c r="B34" s="11"/>
      <c r="C34" s="11"/>
      <c r="D34" s="11"/>
      <c r="E34" s="11"/>
      <c r="F34" s="11"/>
    </row>
    <row r="36" spans="1:6" ht="27.6" x14ac:dyDescent="0.3">
      <c r="A36" s="16" t="s">
        <v>357</v>
      </c>
      <c r="B36" s="16" t="s">
        <v>343</v>
      </c>
    </row>
    <row r="37" spans="1:6" x14ac:dyDescent="0.3">
      <c r="A37" s="24">
        <v>5</v>
      </c>
      <c r="B37" s="24">
        <f>COUNTIF('Respuestas Encuesta'!F6:F55,A37)</f>
        <v>11</v>
      </c>
    </row>
    <row r="38" spans="1:6" x14ac:dyDescent="0.3">
      <c r="A38" s="24">
        <v>4</v>
      </c>
      <c r="B38" s="24">
        <f>COUNTIF('Respuestas Encuesta'!F6:F55,A38)</f>
        <v>10</v>
      </c>
    </row>
    <row r="39" spans="1:6" x14ac:dyDescent="0.3">
      <c r="A39" s="24">
        <v>3</v>
      </c>
      <c r="B39" s="24">
        <f>COUNTIF('Respuestas Encuesta'!F6:F55,A39)</f>
        <v>17</v>
      </c>
    </row>
    <row r="40" spans="1:6" x14ac:dyDescent="0.3">
      <c r="A40" s="24">
        <v>2</v>
      </c>
      <c r="B40" s="24">
        <f>COUNTIF('Respuestas Encuesta'!F6:F55,A40)</f>
        <v>7</v>
      </c>
    </row>
    <row r="41" spans="1:6" x14ac:dyDescent="0.3">
      <c r="A41" s="24">
        <v>1</v>
      </c>
      <c r="B41" s="24">
        <f>COUNTIF('Respuestas Encuesta'!F6:F55,A41)</f>
        <v>5</v>
      </c>
    </row>
    <row r="42" spans="1:6" ht="54.75" customHeight="1" x14ac:dyDescent="0.3">
      <c r="A42" s="35" t="s">
        <v>358</v>
      </c>
      <c r="B42" s="37">
        <f>IF(SUM(B37:B41)=0,"Cargar datos",(B37+B38)/SUM(B37:B41))</f>
        <v>0.42</v>
      </c>
      <c r="C42" s="2" t="str">
        <f>IF(ISNUMBER(B42),IF(B42&gt;=0.8,"Alto: en línea o por encima del benchmark habitual de 80% en atención ciudadana.",IF(B42&gt;=0.6,"Aceptable, aunque por debajo del benchmark habitual de 80%.","Bajo: conviene priorizar acciones correctivas.")) &amp; "  Resultado actual: " &amp; TEXT(B42,"0%"),"Cargar los datos de la encuesta para calcular el CSAT.")</f>
        <v>Bajo: conviene priorizar acciones correctivas.  Resultado actual: 42%</v>
      </c>
      <c r="D42" s="2"/>
      <c r="E42" s="2"/>
      <c r="F42" s="2"/>
    </row>
  </sheetData>
  <mergeCells count="8">
    <mergeCell ref="C31:F31"/>
    <mergeCell ref="A34:F34"/>
    <mergeCell ref="C42:F42"/>
    <mergeCell ref="A1:F1"/>
    <mergeCell ref="A2:F2"/>
    <mergeCell ref="A3:F3"/>
    <mergeCell ref="A23:F23"/>
    <mergeCell ref="D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6" sqref="B6:C6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14" t="s">
        <v>359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3" t="s">
        <v>360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38" t="s">
        <v>361</v>
      </c>
      <c r="B4" s="1" t="s">
        <v>362</v>
      </c>
      <c r="C4" s="1"/>
      <c r="D4" s="51" t="s">
        <v>363</v>
      </c>
      <c r="E4" s="51"/>
      <c r="F4" s="52" t="s">
        <v>364</v>
      </c>
      <c r="G4" s="52"/>
      <c r="H4" s="53" t="s">
        <v>365</v>
      </c>
      <c r="I4" s="53"/>
      <c r="J4" s="54" t="s">
        <v>366</v>
      </c>
      <c r="K4" s="54"/>
    </row>
    <row r="5" spans="1:11" ht="39.75" customHeight="1" x14ac:dyDescent="0.3">
      <c r="A5" s="38" t="s">
        <v>367</v>
      </c>
      <c r="B5" s="39" t="s">
        <v>368</v>
      </c>
      <c r="C5" s="39" t="s">
        <v>369</v>
      </c>
      <c r="D5" s="40" t="s">
        <v>370</v>
      </c>
      <c r="E5" s="40" t="s">
        <v>371</v>
      </c>
      <c r="F5" s="41" t="s">
        <v>372</v>
      </c>
      <c r="G5" s="41" t="s">
        <v>373</v>
      </c>
      <c r="H5" s="42" t="s">
        <v>374</v>
      </c>
      <c r="I5" s="42" t="s">
        <v>375</v>
      </c>
      <c r="J5" s="43" t="s">
        <v>376</v>
      </c>
      <c r="K5" s="43" t="s">
        <v>377</v>
      </c>
    </row>
    <row r="6" spans="1:11" ht="54.75" customHeight="1" x14ac:dyDescent="0.3">
      <c r="A6" s="44" t="s">
        <v>378</v>
      </c>
      <c r="B6" s="55" t="s">
        <v>379</v>
      </c>
      <c r="C6" s="55"/>
      <c r="D6" s="55" t="s">
        <v>380</v>
      </c>
      <c r="E6" s="55"/>
      <c r="F6" s="55" t="s">
        <v>381</v>
      </c>
      <c r="G6" s="55"/>
      <c r="H6" s="55" t="s">
        <v>382</v>
      </c>
      <c r="I6" s="55"/>
      <c r="J6" s="55" t="s">
        <v>383</v>
      </c>
      <c r="K6" s="55"/>
    </row>
    <row r="7" spans="1:11" ht="94.5" customHeight="1" x14ac:dyDescent="0.3">
      <c r="A7" s="44" t="s">
        <v>384</v>
      </c>
      <c r="B7" s="17" t="s">
        <v>385</v>
      </c>
      <c r="C7" s="17" t="s">
        <v>386</v>
      </c>
      <c r="D7" s="17" t="s">
        <v>387</v>
      </c>
      <c r="E7" s="17" t="s">
        <v>388</v>
      </c>
      <c r="F7" s="17" t="s">
        <v>389</v>
      </c>
      <c r="G7" s="17" t="s">
        <v>390</v>
      </c>
      <c r="H7" s="17" t="s">
        <v>391</v>
      </c>
      <c r="I7" s="17" t="s">
        <v>392</v>
      </c>
      <c r="J7" s="17" t="s">
        <v>393</v>
      </c>
      <c r="K7" s="17" t="s">
        <v>394</v>
      </c>
    </row>
    <row r="8" spans="1:11" ht="94.5" customHeight="1" x14ac:dyDescent="0.3">
      <c r="A8" s="44" t="s">
        <v>395</v>
      </c>
      <c r="B8" s="17" t="s">
        <v>396</v>
      </c>
      <c r="C8" s="17" t="s">
        <v>397</v>
      </c>
      <c r="D8" s="17" t="s">
        <v>398</v>
      </c>
      <c r="E8" s="17" t="s">
        <v>399</v>
      </c>
      <c r="F8" s="17" t="s">
        <v>400</v>
      </c>
      <c r="G8" s="17" t="s">
        <v>401</v>
      </c>
      <c r="H8" s="17" t="s">
        <v>402</v>
      </c>
      <c r="I8" s="17" t="s">
        <v>403</v>
      </c>
      <c r="J8" s="17" t="s">
        <v>404</v>
      </c>
      <c r="K8" s="17" t="s">
        <v>405</v>
      </c>
    </row>
    <row r="9" spans="1:11" ht="94.5" customHeight="1" x14ac:dyDescent="0.3">
      <c r="A9" s="44" t="s">
        <v>406</v>
      </c>
      <c r="B9" s="17" t="s">
        <v>407</v>
      </c>
      <c r="C9" s="17" t="s">
        <v>408</v>
      </c>
      <c r="D9" s="17" t="s">
        <v>409</v>
      </c>
      <c r="E9" s="17" t="s">
        <v>410</v>
      </c>
      <c r="F9" s="17" t="s">
        <v>411</v>
      </c>
      <c r="G9" s="17" t="s">
        <v>412</v>
      </c>
      <c r="H9" s="17" t="s">
        <v>413</v>
      </c>
      <c r="I9" s="17" t="s">
        <v>414</v>
      </c>
      <c r="J9" s="17" t="s">
        <v>415</v>
      </c>
      <c r="K9" s="17" t="s">
        <v>416</v>
      </c>
    </row>
    <row r="10" spans="1:11" ht="94.5" customHeight="1" x14ac:dyDescent="0.3">
      <c r="A10" s="44" t="s">
        <v>417</v>
      </c>
      <c r="B10" s="45" t="s">
        <v>418</v>
      </c>
      <c r="C10" s="45" t="s">
        <v>419</v>
      </c>
      <c r="D10" s="45" t="s">
        <v>420</v>
      </c>
      <c r="E10" s="45" t="s">
        <v>421</v>
      </c>
      <c r="F10" s="45" t="s">
        <v>422</v>
      </c>
      <c r="G10" s="45" t="s">
        <v>423</v>
      </c>
      <c r="H10" s="45" t="s">
        <v>424</v>
      </c>
      <c r="I10" s="45" t="s">
        <v>425</v>
      </c>
      <c r="J10" s="45" t="s">
        <v>426</v>
      </c>
      <c r="K10" s="45" t="s">
        <v>427</v>
      </c>
    </row>
    <row r="11" spans="1:11" ht="94.5" customHeight="1" x14ac:dyDescent="0.3">
      <c r="A11" s="44" t="s">
        <v>428</v>
      </c>
      <c r="B11" s="46" t="s">
        <v>429</v>
      </c>
      <c r="C11" s="46" t="s">
        <v>430</v>
      </c>
      <c r="D11" s="46" t="s">
        <v>431</v>
      </c>
      <c r="E11" s="46" t="s">
        <v>432</v>
      </c>
      <c r="F11" s="46" t="s">
        <v>433</v>
      </c>
      <c r="G11" s="46" t="s">
        <v>434</v>
      </c>
      <c r="H11" s="46" t="s">
        <v>435</v>
      </c>
      <c r="I11" s="46" t="s">
        <v>436</v>
      </c>
      <c r="J11" s="46" t="s">
        <v>437</v>
      </c>
      <c r="K11" s="46" t="s">
        <v>438</v>
      </c>
    </row>
    <row r="12" spans="1:11" ht="94.5" customHeight="1" x14ac:dyDescent="0.3">
      <c r="A12" s="44" t="s">
        <v>439</v>
      </c>
      <c r="B12" s="22" t="s">
        <v>440</v>
      </c>
      <c r="C12" s="22" t="s">
        <v>441</v>
      </c>
      <c r="D12" s="22" t="s">
        <v>442</v>
      </c>
      <c r="E12" s="22" t="s">
        <v>443</v>
      </c>
      <c r="F12" s="22" t="s">
        <v>444</v>
      </c>
      <c r="G12" s="22" t="s">
        <v>445</v>
      </c>
      <c r="H12" s="22" t="s">
        <v>446</v>
      </c>
      <c r="I12" s="22" t="s">
        <v>447</v>
      </c>
      <c r="J12" s="22" t="s">
        <v>448</v>
      </c>
      <c r="K12" s="22" t="s">
        <v>449</v>
      </c>
    </row>
  </sheetData>
  <mergeCells count="12">
    <mergeCell ref="B6:C6"/>
    <mergeCell ref="D6:E6"/>
    <mergeCell ref="F6:G6"/>
    <mergeCell ref="H6:I6"/>
    <mergeCell ref="J6:K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14" t="s">
        <v>450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3" t="s">
        <v>451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38" t="s">
        <v>361</v>
      </c>
      <c r="B4" s="1" t="s">
        <v>362</v>
      </c>
      <c r="C4" s="1"/>
      <c r="D4" s="51" t="s">
        <v>363</v>
      </c>
      <c r="E4" s="51"/>
      <c r="F4" s="52" t="s">
        <v>364</v>
      </c>
      <c r="G4" s="52"/>
      <c r="H4" s="53" t="s">
        <v>365</v>
      </c>
      <c r="I4" s="53"/>
      <c r="J4" s="54" t="s">
        <v>366</v>
      </c>
      <c r="K4" s="54"/>
    </row>
    <row r="5" spans="1:11" ht="39.75" customHeight="1" x14ac:dyDescent="0.3">
      <c r="A5" s="38" t="s">
        <v>367</v>
      </c>
      <c r="B5" s="39" t="s">
        <v>368</v>
      </c>
      <c r="C5" s="39" t="s">
        <v>369</v>
      </c>
      <c r="D5" s="40" t="s">
        <v>370</v>
      </c>
      <c r="E5" s="40" t="s">
        <v>371</v>
      </c>
      <c r="F5" s="41" t="s">
        <v>372</v>
      </c>
      <c r="G5" s="41" t="s">
        <v>373</v>
      </c>
      <c r="H5" s="42" t="s">
        <v>374</v>
      </c>
      <c r="I5" s="42" t="s">
        <v>375</v>
      </c>
      <c r="J5" s="43" t="s">
        <v>376</v>
      </c>
      <c r="K5" s="43" t="s">
        <v>377</v>
      </c>
    </row>
    <row r="6" spans="1:11" ht="54.75" customHeight="1" x14ac:dyDescent="0.3">
      <c r="A6" s="44" t="s">
        <v>378</v>
      </c>
      <c r="B6" s="55" t="s">
        <v>452</v>
      </c>
      <c r="C6" s="55"/>
      <c r="D6" s="55" t="s">
        <v>453</v>
      </c>
      <c r="E6" s="55"/>
      <c r="F6" s="55" t="s">
        <v>454</v>
      </c>
      <c r="G6" s="55"/>
      <c r="H6" s="55" t="s">
        <v>455</v>
      </c>
      <c r="I6" s="55"/>
      <c r="J6" s="55" t="s">
        <v>456</v>
      </c>
      <c r="K6" s="55"/>
    </row>
    <row r="7" spans="1:11" ht="94.5" customHeight="1" x14ac:dyDescent="0.3">
      <c r="A7" s="44" t="s">
        <v>457</v>
      </c>
      <c r="B7" s="17" t="s">
        <v>458</v>
      </c>
      <c r="C7" s="17" t="s">
        <v>459</v>
      </c>
      <c r="D7" s="17" t="s">
        <v>460</v>
      </c>
      <c r="E7" s="17" t="s">
        <v>461</v>
      </c>
      <c r="F7" s="17" t="s">
        <v>462</v>
      </c>
      <c r="G7" s="17" t="s">
        <v>463</v>
      </c>
      <c r="H7" s="17" t="s">
        <v>464</v>
      </c>
      <c r="I7" s="17" t="s">
        <v>465</v>
      </c>
      <c r="J7" s="17" t="s">
        <v>466</v>
      </c>
      <c r="K7" s="17" t="s">
        <v>467</v>
      </c>
    </row>
    <row r="8" spans="1:11" ht="94.5" customHeight="1" x14ac:dyDescent="0.3">
      <c r="A8" s="44" t="s">
        <v>395</v>
      </c>
      <c r="B8" s="17" t="s">
        <v>468</v>
      </c>
      <c r="C8" s="17" t="s">
        <v>469</v>
      </c>
      <c r="D8" s="17" t="s">
        <v>470</v>
      </c>
      <c r="E8" s="17" t="s">
        <v>471</v>
      </c>
      <c r="F8" s="17" t="s">
        <v>472</v>
      </c>
      <c r="G8" s="17" t="s">
        <v>473</v>
      </c>
      <c r="H8" s="17" t="s">
        <v>474</v>
      </c>
      <c r="I8" s="17" t="s">
        <v>475</v>
      </c>
      <c r="J8" s="17" t="s">
        <v>476</v>
      </c>
      <c r="K8" s="17" t="s">
        <v>477</v>
      </c>
    </row>
    <row r="9" spans="1:11" ht="94.5" customHeight="1" x14ac:dyDescent="0.3">
      <c r="A9" s="44" t="s">
        <v>478</v>
      </c>
      <c r="B9" s="17" t="s">
        <v>479</v>
      </c>
      <c r="C9" s="17" t="s">
        <v>480</v>
      </c>
      <c r="D9" s="17" t="s">
        <v>481</v>
      </c>
      <c r="E9" s="17" t="s">
        <v>482</v>
      </c>
      <c r="F9" s="17" t="s">
        <v>483</v>
      </c>
      <c r="G9" s="17" t="s">
        <v>484</v>
      </c>
      <c r="H9" s="17" t="s">
        <v>485</v>
      </c>
      <c r="I9" s="17" t="s">
        <v>486</v>
      </c>
      <c r="J9" s="17" t="s">
        <v>487</v>
      </c>
      <c r="K9" s="17" t="s">
        <v>488</v>
      </c>
    </row>
    <row r="10" spans="1:11" ht="94.5" customHeight="1" x14ac:dyDescent="0.3">
      <c r="A10" s="44" t="s">
        <v>489</v>
      </c>
      <c r="B10" s="46" t="s">
        <v>490</v>
      </c>
      <c r="C10" s="46" t="s">
        <v>491</v>
      </c>
      <c r="D10" s="46" t="s">
        <v>492</v>
      </c>
      <c r="E10" s="46" t="s">
        <v>493</v>
      </c>
      <c r="F10" s="46" t="s">
        <v>494</v>
      </c>
      <c r="G10" s="46" t="s">
        <v>495</v>
      </c>
      <c r="H10" s="46" t="s">
        <v>496</v>
      </c>
      <c r="I10" s="46" t="s">
        <v>497</v>
      </c>
      <c r="J10" s="46" t="s">
        <v>498</v>
      </c>
      <c r="K10" s="46" t="s">
        <v>499</v>
      </c>
    </row>
    <row r="11" spans="1:11" ht="94.5" customHeight="1" x14ac:dyDescent="0.3">
      <c r="A11" s="44" t="s">
        <v>500</v>
      </c>
      <c r="B11" s="47" t="s">
        <v>501</v>
      </c>
      <c r="C11" s="47" t="s">
        <v>502</v>
      </c>
      <c r="D11" s="47" t="s">
        <v>503</v>
      </c>
      <c r="E11" s="47" t="s">
        <v>504</v>
      </c>
      <c r="F11" s="47" t="s">
        <v>505</v>
      </c>
      <c r="G11" s="47" t="s">
        <v>506</v>
      </c>
      <c r="H11" s="47" t="s">
        <v>507</v>
      </c>
      <c r="I11" s="47" t="s">
        <v>508</v>
      </c>
      <c r="J11" s="47" t="s">
        <v>509</v>
      </c>
      <c r="K11" s="47" t="s">
        <v>510</v>
      </c>
    </row>
    <row r="12" spans="1:11" ht="94.5" customHeight="1" x14ac:dyDescent="0.3">
      <c r="A12" s="44" t="s">
        <v>511</v>
      </c>
      <c r="B12" s="22" t="s">
        <v>512</v>
      </c>
      <c r="C12" s="22" t="s">
        <v>512</v>
      </c>
      <c r="D12" s="22" t="s">
        <v>513</v>
      </c>
      <c r="E12" s="22" t="s">
        <v>512</v>
      </c>
      <c r="F12" s="22" t="s">
        <v>514</v>
      </c>
      <c r="G12" s="22" t="s">
        <v>515</v>
      </c>
      <c r="H12" s="22" t="s">
        <v>516</v>
      </c>
      <c r="I12" s="22" t="s">
        <v>517</v>
      </c>
      <c r="J12" s="22" t="s">
        <v>518</v>
      </c>
      <c r="K12" s="22" t="s">
        <v>519</v>
      </c>
    </row>
  </sheetData>
  <mergeCells count="12">
    <mergeCell ref="B6:C6"/>
    <mergeCell ref="D6:E6"/>
    <mergeCell ref="F6:G6"/>
    <mergeCell ref="H6:I6"/>
    <mergeCell ref="J6:K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14" t="s">
        <v>520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3" t="s">
        <v>521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38" t="s">
        <v>361</v>
      </c>
      <c r="B4" s="1" t="s">
        <v>362</v>
      </c>
      <c r="C4" s="1"/>
      <c r="D4" s="51" t="s">
        <v>363</v>
      </c>
      <c r="E4" s="51"/>
      <c r="F4" s="52" t="s">
        <v>364</v>
      </c>
      <c r="G4" s="52"/>
      <c r="H4" s="53" t="s">
        <v>365</v>
      </c>
      <c r="I4" s="53"/>
      <c r="J4" s="54" t="s">
        <v>366</v>
      </c>
      <c r="K4" s="54"/>
    </row>
    <row r="5" spans="1:11" ht="39.75" customHeight="1" x14ac:dyDescent="0.3">
      <c r="A5" s="38" t="s">
        <v>367</v>
      </c>
      <c r="B5" s="39" t="s">
        <v>368</v>
      </c>
      <c r="C5" s="39" t="s">
        <v>369</v>
      </c>
      <c r="D5" s="40" t="s">
        <v>370</v>
      </c>
      <c r="E5" s="40" t="s">
        <v>371</v>
      </c>
      <c r="F5" s="41" t="s">
        <v>372</v>
      </c>
      <c r="G5" s="41" t="s">
        <v>373</v>
      </c>
      <c r="H5" s="42" t="s">
        <v>374</v>
      </c>
      <c r="I5" s="42" t="s">
        <v>375</v>
      </c>
      <c r="J5" s="43" t="s">
        <v>376</v>
      </c>
      <c r="K5" s="43" t="s">
        <v>377</v>
      </c>
    </row>
    <row r="6" spans="1:11" ht="75" customHeight="1" x14ac:dyDescent="0.3">
      <c r="A6" s="44" t="s">
        <v>522</v>
      </c>
      <c r="B6" s="17" t="s">
        <v>523</v>
      </c>
      <c r="C6" s="17" t="s">
        <v>524</v>
      </c>
      <c r="D6" s="17" t="s">
        <v>525</v>
      </c>
      <c r="E6" s="17" t="s">
        <v>526</v>
      </c>
      <c r="F6" s="17" t="s">
        <v>527</v>
      </c>
      <c r="G6" s="17" t="s">
        <v>528</v>
      </c>
      <c r="H6" s="17" t="s">
        <v>529</v>
      </c>
      <c r="I6" s="17" t="s">
        <v>530</v>
      </c>
      <c r="J6" s="17" t="s">
        <v>531</v>
      </c>
      <c r="K6" s="17" t="s">
        <v>532</v>
      </c>
    </row>
    <row r="7" spans="1:11" ht="75" customHeight="1" x14ac:dyDescent="0.3">
      <c r="A7" s="44" t="s">
        <v>395</v>
      </c>
      <c r="B7" s="17" t="s">
        <v>396</v>
      </c>
      <c r="C7" s="17" t="s">
        <v>397</v>
      </c>
      <c r="D7" s="17" t="s">
        <v>398</v>
      </c>
      <c r="E7" s="17" t="s">
        <v>399</v>
      </c>
      <c r="F7" s="17" t="s">
        <v>400</v>
      </c>
      <c r="G7" s="17" t="s">
        <v>401</v>
      </c>
      <c r="H7" s="17" t="s">
        <v>402</v>
      </c>
      <c r="I7" s="17" t="s">
        <v>403</v>
      </c>
      <c r="J7" s="17" t="s">
        <v>404</v>
      </c>
      <c r="K7" s="17" t="s">
        <v>405</v>
      </c>
    </row>
    <row r="8" spans="1:11" ht="15.75" customHeight="1" x14ac:dyDescent="0.3">
      <c r="A8" s="56" t="s">
        <v>533</v>
      </c>
      <c r="B8" s="56"/>
      <c r="C8" s="56"/>
      <c r="D8" s="56"/>
      <c r="E8" s="56"/>
      <c r="F8" s="56"/>
      <c r="G8" s="56"/>
      <c r="H8" s="56"/>
      <c r="I8" s="56"/>
      <c r="J8" s="56"/>
      <c r="K8" s="56"/>
    </row>
    <row r="9" spans="1:11" ht="84.75" customHeight="1" x14ac:dyDescent="0.3">
      <c r="A9" s="44" t="s">
        <v>534</v>
      </c>
      <c r="B9" s="48" t="s">
        <v>535</v>
      </c>
      <c r="C9" s="48" t="s">
        <v>536</v>
      </c>
      <c r="D9" s="48" t="s">
        <v>537</v>
      </c>
      <c r="E9" s="48" t="s">
        <v>535</v>
      </c>
      <c r="F9" s="48" t="s">
        <v>538</v>
      </c>
      <c r="G9" s="48" t="s">
        <v>539</v>
      </c>
      <c r="H9" s="48" t="s">
        <v>540</v>
      </c>
      <c r="I9" s="48" t="s">
        <v>541</v>
      </c>
      <c r="J9" s="48" t="s">
        <v>542</v>
      </c>
      <c r="K9" s="48" t="s">
        <v>543</v>
      </c>
    </row>
    <row r="10" spans="1:11" ht="15.75" customHeight="1" x14ac:dyDescent="0.3">
      <c r="A10" s="56" t="s">
        <v>544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1:11" ht="84.75" customHeight="1" x14ac:dyDescent="0.3">
      <c r="A11" s="44" t="s">
        <v>545</v>
      </c>
      <c r="B11" s="49" t="s">
        <v>546</v>
      </c>
      <c r="C11" s="49" t="s">
        <v>547</v>
      </c>
      <c r="D11" s="49" t="s">
        <v>548</v>
      </c>
      <c r="E11" s="49" t="s">
        <v>549</v>
      </c>
      <c r="F11" s="49" t="s">
        <v>550</v>
      </c>
      <c r="G11" s="49" t="s">
        <v>551</v>
      </c>
      <c r="H11" s="49" t="s">
        <v>552</v>
      </c>
      <c r="I11" s="49" t="s">
        <v>553</v>
      </c>
      <c r="J11" s="49" t="s">
        <v>554</v>
      </c>
      <c r="K11" s="49" t="s">
        <v>555</v>
      </c>
    </row>
    <row r="12" spans="1:11" ht="15.75" customHeight="1" x14ac:dyDescent="0.3">
      <c r="A12" s="56" t="s">
        <v>556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1:11" ht="75" customHeight="1" x14ac:dyDescent="0.3">
      <c r="A13" s="44" t="s">
        <v>557</v>
      </c>
      <c r="B13" s="17" t="s">
        <v>558</v>
      </c>
      <c r="C13" s="17" t="s">
        <v>559</v>
      </c>
      <c r="D13" s="17" t="s">
        <v>560</v>
      </c>
      <c r="E13" s="17" t="s">
        <v>561</v>
      </c>
      <c r="F13" s="17" t="s">
        <v>562</v>
      </c>
      <c r="G13" s="17" t="s">
        <v>563</v>
      </c>
      <c r="H13" s="17" t="s">
        <v>564</v>
      </c>
      <c r="I13" s="17" t="s">
        <v>565</v>
      </c>
      <c r="J13" s="17" t="s">
        <v>319</v>
      </c>
      <c r="K13" s="17" t="s">
        <v>566</v>
      </c>
    </row>
    <row r="14" spans="1:11" ht="84.75" customHeight="1" x14ac:dyDescent="0.3">
      <c r="A14" s="44" t="s">
        <v>567</v>
      </c>
      <c r="B14" s="45" t="s">
        <v>568</v>
      </c>
      <c r="C14" s="45" t="s">
        <v>569</v>
      </c>
      <c r="D14" s="45" t="s">
        <v>570</v>
      </c>
      <c r="E14" s="45" t="s">
        <v>571</v>
      </c>
      <c r="F14" s="45" t="s">
        <v>572</v>
      </c>
      <c r="G14" s="45" t="s">
        <v>573</v>
      </c>
      <c r="H14" s="45" t="s">
        <v>574</v>
      </c>
      <c r="I14" s="45" t="s">
        <v>575</v>
      </c>
      <c r="J14" s="45" t="s">
        <v>576</v>
      </c>
      <c r="K14" s="45" t="s">
        <v>577</v>
      </c>
    </row>
    <row r="16" spans="1:11" ht="39.75" customHeight="1" x14ac:dyDescent="0.3">
      <c r="A16" s="11" t="s">
        <v>578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</sheetData>
  <mergeCells count="11">
    <mergeCell ref="A8:K8"/>
    <mergeCell ref="A10:K10"/>
    <mergeCell ref="A12:K12"/>
    <mergeCell ref="A16:K1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showGridLines="0" zoomScaleNormal="100" workbookViewId="0"/>
  </sheetViews>
  <sheetFormatPr baseColWidth="10" defaultColWidth="8.6640625" defaultRowHeight="14.4" x14ac:dyDescent="0.3"/>
  <cols>
    <col min="1" max="1" width="4" customWidth="1"/>
    <col min="2" max="3" width="40" customWidth="1"/>
    <col min="4" max="4" width="26" customWidth="1"/>
    <col min="5" max="6" width="16" customWidth="1"/>
  </cols>
  <sheetData>
    <row r="1" spans="1:6" ht="25.5" customHeight="1" x14ac:dyDescent="0.3">
      <c r="A1" s="14" t="s">
        <v>579</v>
      </c>
      <c r="B1" s="14"/>
      <c r="C1" s="14"/>
      <c r="D1" s="14"/>
      <c r="E1" s="14"/>
      <c r="F1" s="14"/>
    </row>
    <row r="2" spans="1:6" ht="15.75" customHeight="1" x14ac:dyDescent="0.3">
      <c r="A2" s="13" t="s">
        <v>580</v>
      </c>
      <c r="B2" s="13"/>
      <c r="C2" s="13"/>
      <c r="D2" s="13"/>
      <c r="E2" s="13"/>
      <c r="F2" s="13"/>
    </row>
    <row r="4" spans="1:6" ht="27.75" customHeight="1" x14ac:dyDescent="0.3">
      <c r="A4" s="16" t="s">
        <v>143</v>
      </c>
      <c r="B4" s="16" t="s">
        <v>581</v>
      </c>
      <c r="C4" s="16" t="s">
        <v>582</v>
      </c>
      <c r="D4" s="16" t="s">
        <v>583</v>
      </c>
      <c r="E4" s="16" t="s">
        <v>584</v>
      </c>
      <c r="F4" s="16" t="s">
        <v>585</v>
      </c>
    </row>
    <row r="5" spans="1:6" ht="69.75" customHeight="1" x14ac:dyDescent="0.3">
      <c r="A5" s="24">
        <v>1</v>
      </c>
      <c r="B5" s="17" t="s">
        <v>335</v>
      </c>
      <c r="C5" s="17" t="s">
        <v>586</v>
      </c>
      <c r="D5" s="24" t="s">
        <v>587</v>
      </c>
      <c r="E5" s="28" t="s">
        <v>588</v>
      </c>
      <c r="F5" s="50" t="s">
        <v>589</v>
      </c>
    </row>
    <row r="6" spans="1:6" ht="69.75" customHeight="1" x14ac:dyDescent="0.3">
      <c r="A6" s="24">
        <v>2</v>
      </c>
      <c r="B6" s="17" t="s">
        <v>336</v>
      </c>
      <c r="C6" s="17" t="s">
        <v>590</v>
      </c>
      <c r="D6" s="24" t="s">
        <v>591</v>
      </c>
      <c r="E6" s="28" t="s">
        <v>588</v>
      </c>
      <c r="F6" s="50" t="s">
        <v>592</v>
      </c>
    </row>
    <row r="7" spans="1:6" ht="69.75" customHeight="1" x14ac:dyDescent="0.3">
      <c r="A7" s="24">
        <v>3</v>
      </c>
      <c r="B7" s="17" t="s">
        <v>337</v>
      </c>
      <c r="C7" s="17" t="s">
        <v>593</v>
      </c>
      <c r="D7" s="24" t="s">
        <v>594</v>
      </c>
      <c r="E7" s="28" t="s">
        <v>588</v>
      </c>
      <c r="F7" s="50" t="s">
        <v>592</v>
      </c>
    </row>
    <row r="8" spans="1:6" ht="69.75" customHeight="1" x14ac:dyDescent="0.3">
      <c r="A8" s="24">
        <v>4</v>
      </c>
      <c r="B8" s="17" t="s">
        <v>338</v>
      </c>
      <c r="C8" s="17" t="s">
        <v>595</v>
      </c>
      <c r="D8" s="24" t="s">
        <v>596</v>
      </c>
      <c r="E8" s="27" t="s">
        <v>597</v>
      </c>
      <c r="F8" s="50" t="s">
        <v>589</v>
      </c>
    </row>
    <row r="9" spans="1:6" ht="69.75" customHeight="1" x14ac:dyDescent="0.3">
      <c r="A9" s="24">
        <v>5</v>
      </c>
      <c r="B9" s="17" t="s">
        <v>339</v>
      </c>
      <c r="C9" s="17" t="s">
        <v>598</v>
      </c>
      <c r="D9" s="24" t="s">
        <v>599</v>
      </c>
      <c r="E9" s="28" t="s">
        <v>588</v>
      </c>
      <c r="F9" s="50" t="s">
        <v>592</v>
      </c>
    </row>
  </sheetData>
  <mergeCells count="2">
    <mergeCell ref="A1:F1"/>
    <mergeCell ref="A2:F2"/>
  </mergeCells>
  <dataValidations count="1">
    <dataValidation type="list" allowBlank="1" sqref="F5:F9" xr:uid="{00000000-0002-0000-0900-000000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Guía</vt:lpstr>
      <vt:lpstr>Contexto de la Organización</vt:lpstr>
      <vt:lpstr>Buyer Persona</vt:lpstr>
      <vt:lpstr>Reseñas y Encuesta</vt:lpstr>
      <vt:lpstr>Respuestas Encuesta</vt:lpstr>
      <vt:lpstr>Indicadores</vt:lpstr>
      <vt:lpstr>Customer Journey Map</vt:lpstr>
      <vt:lpstr>Customer Journey Map (To Be)</vt:lpstr>
      <vt:lpstr>Service Blueprint</vt:lpstr>
      <vt:lpstr>Insights y Oportunidades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 Vera</cp:lastModifiedBy>
  <cp:revision>0</cp:revision>
  <dcterms:created xsi:type="dcterms:W3CDTF">2026-09-14T14:38:19Z</dcterms:created>
  <dcterms:modified xsi:type="dcterms:W3CDTF">2026-09-14T14:41:44Z</dcterms:modified>
  <dc:language>en-US</dc:language>
</cp:coreProperties>
</file>