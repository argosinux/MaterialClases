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gos_oei97z9\Downloads\"/>
    </mc:Choice>
  </mc:AlternateContent>
  <xr:revisionPtr revIDLastSave="0" documentId="13_ncr:1_{4659A57F-DB2B-4887-B369-258927CE27B0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Portada" sheetId="1" r:id="rId1"/>
    <sheet name="MVP e Hipótesis" sheetId="2" r:id="rId2"/>
    <sheet name="Backlog" sheetId="3" r:id="rId3"/>
    <sheet name="Roadmap Visual" sheetId="4" r:id="rId4"/>
    <sheet name="Release Readines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3" l="1"/>
  <c r="C26" i="3"/>
  <c r="C25" i="3"/>
  <c r="C24" i="3"/>
</calcChain>
</file>

<file path=xl/sharedStrings.xml><?xml version="1.0" encoding="utf-8"?>
<sst xmlns="http://schemas.openxmlformats.org/spreadsheetml/2006/main" count="225" uniqueCount="163">
  <si>
    <t>TrámiteDigital RC</t>
  </si>
  <si>
    <t>Digitalización de la solicitud de copias certificadas del Registro Civil</t>
  </si>
  <si>
    <t>Caso de estudio — Curso de Metodologías Ágiles</t>
  </si>
  <si>
    <t>Organización</t>
  </si>
  <si>
    <t>Registro Público (Registro Civil y Capacidad de las Personas) — organismo público provincial/municipal</t>
  </si>
  <si>
    <t>Problema</t>
  </si>
  <si>
    <t>Para obtener una copia certificada de acta de nacimiento, certificado de matrimonio u otro documento del Registro Civil, la ciudadanía debe presentarse físicamente, sacar turno, hacer fila y pagar en ventanilla. El trámite completo demora en promedio 5 días hábiles y genera alta insatisfacción, sobrecarga de las oficinas y barreras para quienes no viven cerca de una sede o tienen movilidad reducida.</t>
  </si>
  <si>
    <t>Visión del producto</t>
  </si>
  <si>
    <t>Que cualquier ciudadano pueda solicitar, pagar y recibir una copia certificada de un documento del Registro Civil de forma 100% digital, con la misma validez legal que el trámite presencial.</t>
  </si>
  <si>
    <t>Usuarios / Personas</t>
  </si>
  <si>
    <t>Ciudadano solicitante (persona que pide su propia partida o la de un familiar directo) · Agente del Registro Civil (procesa y valida solicitudes) · Terceros receptores (bancos, escuelas, otros organismos que reciben el documento como comprobante).</t>
  </si>
  <si>
    <t>Equipo</t>
  </si>
  <si>
    <t>1 Product Owner · 1 Scrum Master · 5 desarrolladores (2 backend, 2 frontend, 1 QA) · 1 diseñador UX · referentes legales y operativos del Registro Civil como stakeholders</t>
  </si>
  <si>
    <t>Duración de sprint</t>
  </si>
  <si>
    <t>2 semanas</t>
  </si>
  <si>
    <t>Cómo usar esta planilla</t>
  </si>
  <si>
    <t>Portada → MVP e Hipótesis (qué vamos a validar y por qué) → Backlog (iniciativas e historias) → Roadmap Visual (Now / Next / Later con su Outcome) → Release Readiness (criterios para autorizar el lanzamiento).</t>
  </si>
  <si>
    <t>MVP e Hipótesis principal</t>
  </si>
  <si>
    <t>Hipótesis principal (formato Lean)</t>
  </si>
  <si>
    <t>Creemos que SI permitimos a los ciudadanos solicitar, pagar y recibir la partida de nacimiento en formato digital (con código de validación QR), ENTONCES reduciremos en al menos 60% las visitas presenciales por este trámite y aumentaremos la satisfacción ciudadana (NPS) en al menos 20 puntos en el primer trimestre post-lanzamiento, PORQUE la evidencia relevada (encuestas y datos de atención al público) muestra que la principal fuente de fricción no es el costo del trámite sino la necesidad de trasladarse físicamente y esperar en horario laboral.</t>
  </si>
  <si>
    <t>Métricas de éxito para validar la hipótesis</t>
  </si>
  <si>
    <t>•  Tiempo promedio de entrega del documento: de 5 días hábiles a &lt; 24 hs (80% de los casos).</t>
  </si>
  <si>
    <t>•  % de solicitudes de partida de nacimiento iniciadas online sobre el total del trámite (meta: 50% en 3 meses).</t>
  </si>
  <si>
    <t>•  NPS / satisfacción del trámite digital vs. presencial (meta: +20 puntos).</t>
  </si>
  <si>
    <t>•  Tasa de abandono del flujo de solicitud (inicio → pago completado) (meta: &lt; 20%).</t>
  </si>
  <si>
    <t>Alcance del MVP</t>
  </si>
  <si>
    <t>Incluye (IN)</t>
  </si>
  <si>
    <t>Registro y validación básica de identidad · solicitud online de partida de nacimiento (el documento de mayor volumen) · pago en línea · seguimiento simple del estado · entrega digital en PDF con QR de validación · cola de trabajo mínima para que un agente procese manualmente durante el piloto.</t>
  </si>
  <si>
    <t>No incluye (OUT)</t>
  </si>
  <si>
    <t>Certificado de matrimonio, defunción u otros documentos · notificaciones automáticas · panel administrativo completo · firma digital con validez plena (se usa QR de validación como paso intermedio) · envío postal · integración con otros organismos · app móvil.</t>
  </si>
  <si>
    <t>Riesgos a validar (framework de los 4 riesgos — Marty Cagan)</t>
  </si>
  <si>
    <t>Valor</t>
  </si>
  <si>
    <t>¿Los ciudadanos eligen el canal digital en vez de ir presencialmente cuando se les ofrece la opción?</t>
  </si>
  <si>
    <t>Usabilidad</t>
  </si>
  <si>
    <t>¿Pueden completar el trámite sin ayuda, incluyendo quienes no son nativos digitales?</t>
  </si>
  <si>
    <t>Factibilidad</t>
  </si>
  <si>
    <t>¿Se puede integrar la validación de identidad y el pago dentro del marco legal y técnico vigente en 2 sprints?</t>
  </si>
  <si>
    <t>Viabilidad de negocio</t>
  </si>
  <si>
    <t>¿El organismo puede sostener operativamente los pedidos digitales sin duplicar el trabajo del circuito presencial?</t>
  </si>
  <si>
    <t>ID</t>
  </si>
  <si>
    <t>Horizonte</t>
  </si>
  <si>
    <t>Épica / Iniciativa</t>
  </si>
  <si>
    <t>Historia de usuario / Descripción</t>
  </si>
  <si>
    <t>Prioridad
(MoSCoW)</t>
  </si>
  <si>
    <t>Estimación
(SP)</t>
  </si>
  <si>
    <t>Outcome asociado</t>
  </si>
  <si>
    <t>Estado de refinamiento</t>
  </si>
  <si>
    <t>Now</t>
  </si>
  <si>
    <t>Autenticación e identidad</t>
  </si>
  <si>
    <t>Como ciudadano, quiero crear una cuenta con mi DNI y email, para iniciar solicitudes sin presentarme físicamente.</t>
  </si>
  <si>
    <t>Must</t>
  </si>
  <si>
    <t>Reducir a 0 el requisito de presencialidad para iniciar el trámite.</t>
  </si>
  <si>
    <t>Refinada</t>
  </si>
  <si>
    <t>Como ciudadano, quiero validar mi identidad con una selfie junto a mi DNI, para que el sistema confirme que soy el titular o un familiar directo autorizado.</t>
  </si>
  <si>
    <t>Reducir en 90% las solicitudes con datos de identidad inconsistentes respecto del circuito presencial.</t>
  </si>
  <si>
    <t>Solicitud de partida de nacimiento</t>
  </si>
  <si>
    <t>Como ciudadano, quiero completar los datos del titular de la partida (nombre, fecha, lugar de nacimiento), para iniciar la solicitud del documento más pedido.</t>
  </si>
  <si>
    <t>Habilitar el trámite digital para el documento de mayor volumen (partida de nacimiento).</t>
  </si>
  <si>
    <t>Pago en línea</t>
  </si>
  <si>
    <t>Como ciudadano, quiero pagar el arancel con tarjeta o billetera virtual, para completar mi solicitud sin ir a pagar en ventanilla.</t>
  </si>
  <si>
    <t>Aumentar la tasa de conversión inicio→pago del ~45% actual (estimado en trámites con pago en ventanilla) a 80%.</t>
  </si>
  <si>
    <t>Seguimiento de la solicitud</t>
  </si>
  <si>
    <t>Como ciudadano, quiero ver el estado de mi trámite (recibida / en proceso / lista) en un panel simple, para no tener que llamar o presentarme a preguntar.</t>
  </si>
  <si>
    <t>Reducir en 70% las consultas telefónicas o presenciales sobre estado de trámite.</t>
  </si>
  <si>
    <t>Entrega digital</t>
  </si>
  <si>
    <t>Como ciudadano, quiero descargar mi partida en PDF con un código QR de validación, para poder presentarla digitalmente ante terceros.</t>
  </si>
  <si>
    <t>Que el 95% de las copias entregadas sean validadas correctamente por terceros sin trámite adicional.</t>
  </si>
  <si>
    <t>Como tercero receptor (banco, escuela, organismo), quiero escanear el código QR del documento, para verificar su autenticidad sin llamar al Registro Civil.</t>
  </si>
  <si>
    <t>Should</t>
  </si>
  <si>
    <t>Reducir a 0 las verificaciones telefónicas de autenticidad de documentos por parte de terceros.</t>
  </si>
  <si>
    <t>Operación / agente</t>
  </si>
  <si>
    <t>Como agente del Registro Civil, quiero ver las solicitudes digitales en una cola simple, para poder procesarlas manualmente durante el piloto.</t>
  </si>
  <si>
    <t>Operar el piloto sin bloquear el circuito por falta de herramienta mínima de gestión.</t>
  </si>
  <si>
    <t>Notas legales</t>
  </si>
  <si>
    <t>Como responsable legal del organismo, quiero que cada solicitud quede con registro de auditoría (quién, cuándo, con qué validación de identidad), para sostener la trazabilidad del trámite.</t>
  </si>
  <si>
    <t>Contar con trazabilidad completa para sostener la validez legal del documento emitido.</t>
  </si>
  <si>
    <t>Next</t>
  </si>
  <si>
    <t>Solicitud de certificado de matrimonio</t>
  </si>
  <si>
    <t>Extender el flujo de solicitud y pago ya construido para partida de nacimiento al certificado de matrimonio (segundo documento en volumen).</t>
  </si>
  <si>
    <t>Capturar ~25% adicional del volumen total de trámites bajo el mismo modelo digital.</t>
  </si>
  <si>
    <t>Por refinar</t>
  </si>
  <si>
    <t>Solicitud de certificado de defunción</t>
  </si>
  <si>
    <t>Adaptar el flujo de solicitud al certificado de defunción, considerando que puede solicitarlo un tercero (familiar) y no siempre el titular.</t>
  </si>
  <si>
    <t>Cubrir el tercer documento en volumen, clave para trámites sucesorios que hoy se demoran por este certificado.</t>
  </si>
  <si>
    <t>Notificaciones automáticas</t>
  </si>
  <si>
    <t>Enviar notificaciones por email y SMS cuando cambia el estado de la solicitud (recibida, en proceso, lista para descargar).</t>
  </si>
  <si>
    <t>Aumentar en 30% la tasa de descarga del documento dentro de las 48 hs de estar listo.</t>
  </si>
  <si>
    <t>Panel administrativo para agentes</t>
  </si>
  <si>
    <t>Reemplazar la cola simple del MVP por un panel con filtros, métricas, aprobación en lote y motivos de rechazo estandarizados.</t>
  </si>
  <si>
    <t>Reducir en 40% el tiempo que un agente tarda en procesar y aprobar una solicitud respecto del proceso manual.</t>
  </si>
  <si>
    <t>Validación cruzada automática</t>
  </si>
  <si>
    <t>Integrar la solicitud con la base de datos del Registro Civil para validar automáticamente que los datos ingresados correspondan a un registro existente.</t>
  </si>
  <si>
    <t>Reducir a menos de 2% la tasa de solicitudes rechazadas por error de tipeo o datos inconsistentes (hoy estimada en 15%).</t>
  </si>
  <si>
    <t>Later</t>
  </si>
  <si>
    <t>Firma digital con validez legal plena</t>
  </si>
  <si>
    <t>Reemplazar el QR de validación por firma digital homologada, integrando con el proveedor de firma digital que use el Estado.</t>
  </si>
  <si>
    <t>Could</t>
  </si>
  <si>
    <t>Que el 100% de los documentos emitidos sean aceptados sin cuestionamiento legal por organismos públicos y privados.</t>
  </si>
  <si>
    <t>Idea</t>
  </si>
  <si>
    <t>Envío postal opcional</t>
  </si>
  <si>
    <t>Permitir solicitar el envío de una copia física certificada a un domicilio, para quienes no puedan aceptar el formato digital.</t>
  </si>
  <si>
    <t>Ampliar el alcance del servicio digital al 100% de la población objetivo, incluida la que no acepta el formato digital.</t>
  </si>
  <si>
    <t>Integración con otros organismos</t>
  </si>
  <si>
    <t>Exponer una API para que bancos, escuelas y otros organismos verifiquen el documento directamente, sin que el ciudadano lo presente en papel.</t>
  </si>
  <si>
    <t>Eliminar la necesidad de presentar el documento en papel ante terceros integrados.</t>
  </si>
  <si>
    <t>Accesibilidad ampliada</t>
  </si>
  <si>
    <t>Incorporar lector de pantalla, lenguaje claro y un canal de atención asistida para adultos mayores o personas con discapacidad.</t>
  </si>
  <si>
    <t>Won't (por ahora)</t>
  </si>
  <si>
    <t>Garantizar que el 100% de la ciudadanía pueda completar el trámite de forma autónoma o asistida.</t>
  </si>
  <si>
    <t>Detección de fraude con IA</t>
  </si>
  <si>
    <t>Incorporar un motor de reglas / IA que detecte patrones de fraude documental no cubiertos por la validación cruzada.</t>
  </si>
  <si>
    <t>Reducir en 95% los intentos de fraude documental no detectados por las reglas actuales.</t>
  </si>
  <si>
    <t>Aplicación móvil nativa</t>
  </si>
  <si>
    <t>Llevar el flujo de solicitud a una app móvil nativa como canal adicional de acceso.</t>
  </si>
  <si>
    <t>Aumentar en 25% el volumen total de trámites digitales al sumar el canal mobile.</t>
  </si>
  <si>
    <t>Resumen</t>
  </si>
  <si>
    <t>Ítems Now</t>
  </si>
  <si>
    <t>Ítems Next</t>
  </si>
  <si>
    <t>Ítems Later</t>
  </si>
  <si>
    <t>Total backlog</t>
  </si>
  <si>
    <t>Roadmap — TrámiteDigital RC</t>
  </si>
  <si>
    <t>Cada tarjeta indica la iniciativa y su Outcome esperado (el resultado que buscamos, no solo la funcionalidad).</t>
  </si>
  <si>
    <t>NOW
Próximos 2 sprints</t>
  </si>
  <si>
    <t>NEXT
Próximos 1-2 meses</t>
  </si>
  <si>
    <t>LATER
Visión futura</t>
  </si>
  <si>
    <t>Autenticación e identidad digital</t>
  </si>
  <si>
    <t>Certificado de matrimonio</t>
  </si>
  <si>
    <t>Outcome: Reducir a 0 el requisito de presencialidad para iniciar el trámite y en 90% las inconsistencias de identidad.</t>
  </si>
  <si>
    <t>Outcome: Capturar ~25% adicional del volumen total de trámites bajo el mismo modelo digital.</t>
  </si>
  <si>
    <t>Outcome: 100% de los documentos aceptados sin cuestionamiento legal.</t>
  </si>
  <si>
    <t>Solicitud online de partida de nacimiento</t>
  </si>
  <si>
    <t>Certificado de defunción</t>
  </si>
  <si>
    <t>Outcome: Habilitar el trámite 100% digital para el documento de mayor volumen.</t>
  </si>
  <si>
    <t>Outcome: Cubrir el tercer documento en volumen, clave para trámites sucesorios.</t>
  </si>
  <si>
    <t>Outcome: Ampliar el alcance al 100% de la población objetivo, incluida la no digital.</t>
  </si>
  <si>
    <t>Integración con otros organismos (API)</t>
  </si>
  <si>
    <t>Outcome: Subir la conversión inicio→pago completado del ~45% al 80%.</t>
  </si>
  <si>
    <t>Outcome: Subir 30% la tasa de descarga del documento dentro de las 48 hs de estar listo.</t>
  </si>
  <si>
    <t>Outcome: Eliminar la presentación en papel ante terceros integrados.</t>
  </si>
  <si>
    <t>Panel administrativo completo</t>
  </si>
  <si>
    <t>Outcome: Reducir en 70% las consultas por estado de trámite al call center / mesa de entradas.</t>
  </si>
  <si>
    <t>Outcome: Reducir en 40% el tiempo de procesamiento por solicitud por parte del agente.</t>
  </si>
  <si>
    <t>Outcome: Garantizar que toda la ciudadanía pueda completar el trámite de forma autónoma o asistida.</t>
  </si>
  <si>
    <t>Entrega digital con QR de validación</t>
  </si>
  <si>
    <t>Outcome: Que el 95% de las copias sean validadas por terceros sin trámite adicional.</t>
  </si>
  <si>
    <t>Outcome: Bajar de 15% a menos de 2% el rechazo por datos inconsistentes.</t>
  </si>
  <si>
    <t>Outcome: Reducir en 95% el fraude documental no detectado por las reglas actuales.</t>
  </si>
  <si>
    <t>Cola de trabajo para agentes (piloto)</t>
  </si>
  <si>
    <t>Outcome: Operar el piloto sin bloquear el circuito por falta de herramienta mínima.</t>
  </si>
  <si>
    <t>Outcome: Sumar 25% de volumen digital adicional vía canal mobile.</t>
  </si>
  <si>
    <t>Release Readiness — Criterios para autorizar el lanzamiento del MVP</t>
  </si>
  <si>
    <t>El lanzamiento a producción (aunque sea piloto) requiere que los 3 criterios estén en verde.</t>
  </si>
  <si>
    <t>Tipo</t>
  </si>
  <si>
    <t>Criterio</t>
  </si>
  <si>
    <t>Cómo se mide / umbral</t>
  </si>
  <si>
    <t>Técnico</t>
  </si>
  <si>
    <t>Seguridad y protección de datos personales</t>
  </si>
  <si>
    <t>Cifrado de extremo a extremo en solicitud, validación de identidad y pago · sin vulnerabilidades críticas/altas abiertas en el último pentest · cumplimiento de la normativa de protección de datos personales vigente.</t>
  </si>
  <si>
    <t>Disponibilidad y performance</t>
  </si>
  <si>
    <t>Uptime ≥ 99.5% en el ambiente productivo · tiempo de respuesta &lt; 3 segundos con carga simulada de al menos 500 solicitudes concurrentes · plan de rollback probado.</t>
  </si>
  <si>
    <t>Negocio / Legal</t>
  </si>
  <si>
    <t>Validez legal del documento emitido</t>
  </si>
  <si>
    <t>El documento con código QR de validación está aprobado formalmente por el área legal del Registro Civil como equivalente válido a la copia emitida en ventanilla · circuito de auditoría (quién, cuándo, con qué validación) verificado.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</si>
</sst>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i/>
      <sz val="13"/>
      <color rgb="FF595959"/>
      <name val="Arial"/>
      <charset val="1"/>
    </font>
    <font>
      <b/>
      <sz val="11"/>
      <color rgb="FF8EA9DB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6"/>
      <color rgb="FF1F3864"/>
      <name val="Arial"/>
      <charset val="1"/>
    </font>
    <font>
      <b/>
      <sz val="12"/>
      <color rgb="FFFFFFFF"/>
      <name val="Arial"/>
      <charset val="1"/>
    </font>
    <font>
      <i/>
      <sz val="11"/>
      <color rgb="FF000000"/>
      <name val="Arial"/>
      <charset val="1"/>
    </font>
    <font>
      <sz val="10.5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13"/>
      <color rgb="FFFFFFFF"/>
      <name val="Arial"/>
      <charset val="1"/>
    </font>
    <font>
      <b/>
      <sz val="11"/>
      <color rgb="FF1F1F1F"/>
      <name val="Arial"/>
      <charset val="1"/>
    </font>
    <font>
      <i/>
      <sz val="9.5"/>
      <color rgb="FF1F1F1F"/>
      <name val="Arial"/>
      <charset val="1"/>
    </font>
    <font>
      <b/>
      <sz val="15"/>
      <color rgb="FF1F3864"/>
      <name val="Arial"/>
      <charset val="1"/>
    </font>
    <font>
      <i/>
      <sz val="9.5"/>
      <color rgb="FF7F7F7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864"/>
        <bgColor rgb="FF2E5395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2E5395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8" fillId="0" borderId="0" xfId="0" applyFont="1" applyAlignment="1">
      <alignment vertical="top" wrapText="1"/>
    </xf>
    <xf numFmtId="0" fontId="17" fillId="0" borderId="0" xfId="0" applyFont="1"/>
    <xf numFmtId="0" fontId="16" fillId="16" borderId="4" xfId="0" applyFont="1" applyFill="1" applyBorder="1" applyAlignment="1">
      <alignment horizontal="left" vertical="top" wrapText="1" indent="1"/>
    </xf>
    <xf numFmtId="0" fontId="15" fillId="11" borderId="4" xfId="0" applyFont="1" applyFill="1" applyBorder="1" applyAlignment="1">
      <alignment horizontal="left" vertical="center" wrapText="1" indent="1"/>
    </xf>
    <xf numFmtId="0" fontId="15" fillId="9" borderId="4" xfId="0" applyFont="1" applyFill="1" applyBorder="1" applyAlignment="1">
      <alignment horizontal="left" vertical="center" wrapText="1" indent="1"/>
    </xf>
    <xf numFmtId="0" fontId="15" fillId="5" borderId="4" xfId="0" applyFont="1" applyFill="1" applyBorder="1" applyAlignment="1">
      <alignment horizontal="left" vertical="center" wrapText="1" indent="1"/>
    </xf>
    <xf numFmtId="0" fontId="13" fillId="0" borderId="0" xfId="0" applyFont="1"/>
    <xf numFmtId="0" fontId="9" fillId="0" borderId="3" xfId="0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center" indent="1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4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1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8EA9DB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D6"/>
      <rgbColor rgb="FFD9D9D9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D9E1F2"/>
      <rgbColor rgb="FF1F3864"/>
      <rgbColor rgb="FF339966"/>
      <rgbColor rgb="FF003300"/>
      <rgbColor rgb="FF333300"/>
      <rgbColor rgb="FF993300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topLeftCell="A5" zoomScaleNormal="100" workbookViewId="0"/>
  </sheetViews>
  <sheetFormatPr baseColWidth="10" defaultColWidth="8.6640625" defaultRowHeight="14.4" x14ac:dyDescent="0.3"/>
  <cols>
    <col min="1" max="1" width="4" customWidth="1"/>
    <col min="2" max="2" width="34" customWidth="1"/>
    <col min="3" max="3" width="90" customWidth="1"/>
    <col min="4" max="4" width="4" customWidth="1"/>
  </cols>
  <sheetData>
    <row r="2" spans="2:3" ht="28.2" x14ac:dyDescent="0.5">
      <c r="B2" s="14" t="s">
        <v>0</v>
      </c>
      <c r="C2" s="14"/>
    </row>
    <row r="3" spans="2:3" ht="17.399999999999999" x14ac:dyDescent="0.35">
      <c r="B3" s="13" t="s">
        <v>1</v>
      </c>
      <c r="C3" s="13"/>
    </row>
    <row r="5" spans="2:3" x14ac:dyDescent="0.3">
      <c r="B5" s="12" t="s">
        <v>2</v>
      </c>
      <c r="C5" s="12"/>
    </row>
    <row r="7" spans="2:3" ht="30" customHeight="1" x14ac:dyDescent="0.3">
      <c r="B7" s="15" t="s">
        <v>3</v>
      </c>
      <c r="C7" s="16" t="s">
        <v>4</v>
      </c>
    </row>
    <row r="8" spans="2:3" ht="75" customHeight="1" x14ac:dyDescent="0.3">
      <c r="B8" s="15" t="s">
        <v>5</v>
      </c>
      <c r="C8" s="16" t="s">
        <v>6</v>
      </c>
    </row>
    <row r="9" spans="2:3" ht="45" customHeight="1" x14ac:dyDescent="0.3">
      <c r="B9" s="15" t="s">
        <v>7</v>
      </c>
      <c r="C9" s="16" t="s">
        <v>8</v>
      </c>
    </row>
    <row r="10" spans="2:3" ht="45" customHeight="1" x14ac:dyDescent="0.3">
      <c r="B10" s="15" t="s">
        <v>9</v>
      </c>
      <c r="C10" s="16" t="s">
        <v>10</v>
      </c>
    </row>
    <row r="11" spans="2:3" ht="30" customHeight="1" x14ac:dyDescent="0.3">
      <c r="B11" s="15" t="s">
        <v>11</v>
      </c>
      <c r="C11" s="16" t="s">
        <v>12</v>
      </c>
    </row>
    <row r="12" spans="2:3" ht="30" customHeight="1" x14ac:dyDescent="0.3">
      <c r="B12" s="15" t="s">
        <v>13</v>
      </c>
      <c r="C12" s="16" t="s">
        <v>14</v>
      </c>
    </row>
    <row r="13" spans="2:3" ht="45" customHeight="1" x14ac:dyDescent="0.3">
      <c r="B13" s="15" t="s">
        <v>15</v>
      </c>
      <c r="C13" s="16" t="s">
        <v>16</v>
      </c>
    </row>
  </sheetData>
  <mergeCells count="3">
    <mergeCell ref="B2:C2"/>
    <mergeCell ref="B3:C3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4"/>
  <sheetViews>
    <sheetView showGridLines="0" topLeftCell="A3" zoomScaleNormal="100" workbookViewId="0"/>
  </sheetViews>
  <sheetFormatPr baseColWidth="10" defaultColWidth="8.6640625" defaultRowHeight="14.4" x14ac:dyDescent="0.3"/>
  <cols>
    <col min="1" max="1" width="4" customWidth="1"/>
    <col min="2" max="2" width="30" customWidth="1"/>
    <col min="3" max="3" width="95" customWidth="1"/>
    <col min="4" max="4" width="4" customWidth="1"/>
  </cols>
  <sheetData>
    <row r="2" spans="2:3" ht="21" x14ac:dyDescent="0.4">
      <c r="B2" s="11" t="s">
        <v>17</v>
      </c>
      <c r="C2" s="11"/>
    </row>
    <row r="4" spans="2:3" ht="15.6" x14ac:dyDescent="0.3">
      <c r="B4" s="10" t="s">
        <v>18</v>
      </c>
      <c r="C4" s="10"/>
    </row>
    <row r="5" spans="2:3" ht="24.75" customHeight="1" x14ac:dyDescent="0.3">
      <c r="B5" s="9" t="s">
        <v>19</v>
      </c>
      <c r="C5" s="9"/>
    </row>
    <row r="6" spans="2:3" ht="24.75" customHeight="1" x14ac:dyDescent="0.3">
      <c r="B6" s="9"/>
      <c r="C6" s="9"/>
    </row>
    <row r="7" spans="2:3" ht="24.75" customHeight="1" x14ac:dyDescent="0.3">
      <c r="B7" s="9"/>
      <c r="C7" s="9"/>
    </row>
    <row r="8" spans="2:3" ht="24.75" customHeight="1" x14ac:dyDescent="0.3">
      <c r="B8" s="9"/>
      <c r="C8" s="9"/>
    </row>
    <row r="10" spans="2:3" ht="15.6" x14ac:dyDescent="0.3">
      <c r="B10" s="10" t="s">
        <v>20</v>
      </c>
      <c r="C10" s="10"/>
    </row>
    <row r="11" spans="2:3" ht="18" customHeight="1" x14ac:dyDescent="0.3">
      <c r="B11" s="8" t="s">
        <v>21</v>
      </c>
      <c r="C11" s="8"/>
    </row>
    <row r="12" spans="2:3" ht="18" customHeight="1" x14ac:dyDescent="0.3">
      <c r="B12" s="8" t="s">
        <v>22</v>
      </c>
      <c r="C12" s="8"/>
    </row>
    <row r="13" spans="2:3" ht="18" customHeight="1" x14ac:dyDescent="0.3">
      <c r="B13" s="8" t="s">
        <v>23</v>
      </c>
      <c r="C13" s="8"/>
    </row>
    <row r="14" spans="2:3" ht="18" customHeight="1" x14ac:dyDescent="0.3">
      <c r="B14" s="8" t="s">
        <v>24</v>
      </c>
      <c r="C14" s="8"/>
    </row>
    <row r="16" spans="2:3" ht="15.6" x14ac:dyDescent="0.3">
      <c r="B16" s="10" t="s">
        <v>25</v>
      </c>
      <c r="C16" s="10"/>
    </row>
    <row r="17" spans="2:3" ht="45" customHeight="1" x14ac:dyDescent="0.3">
      <c r="B17" s="17" t="s">
        <v>26</v>
      </c>
      <c r="C17" s="16" t="s">
        <v>27</v>
      </c>
    </row>
    <row r="18" spans="2:3" ht="45" customHeight="1" x14ac:dyDescent="0.3">
      <c r="B18" s="18" t="s">
        <v>28</v>
      </c>
      <c r="C18" s="16" t="s">
        <v>29</v>
      </c>
    </row>
    <row r="20" spans="2:3" ht="15.6" x14ac:dyDescent="0.3">
      <c r="B20" s="10" t="s">
        <v>30</v>
      </c>
      <c r="C20" s="10"/>
    </row>
    <row r="21" spans="2:3" ht="30" customHeight="1" x14ac:dyDescent="0.3">
      <c r="B21" s="19" t="s">
        <v>31</v>
      </c>
      <c r="C21" s="16" t="s">
        <v>32</v>
      </c>
    </row>
    <row r="22" spans="2:3" ht="30" customHeight="1" x14ac:dyDescent="0.3">
      <c r="B22" s="19" t="s">
        <v>33</v>
      </c>
      <c r="C22" s="16" t="s">
        <v>34</v>
      </c>
    </row>
    <row r="23" spans="2:3" ht="30" customHeight="1" x14ac:dyDescent="0.3">
      <c r="B23" s="19" t="s">
        <v>35</v>
      </c>
      <c r="C23" s="16" t="s">
        <v>36</v>
      </c>
    </row>
    <row r="24" spans="2:3" ht="30" customHeight="1" x14ac:dyDescent="0.3">
      <c r="B24" s="19" t="s">
        <v>37</v>
      </c>
      <c r="C24" s="16" t="s">
        <v>38</v>
      </c>
    </row>
  </sheetData>
  <mergeCells count="10">
    <mergeCell ref="B12:C12"/>
    <mergeCell ref="B13:C13"/>
    <mergeCell ref="B14:C14"/>
    <mergeCell ref="B16:C16"/>
    <mergeCell ref="B20:C20"/>
    <mergeCell ref="B2:C2"/>
    <mergeCell ref="B4:C4"/>
    <mergeCell ref="B5:C8"/>
    <mergeCell ref="B10:C10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zoomScaleNormal="100" workbookViewId="0">
      <pane ySplit="1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11" customWidth="1"/>
    <col min="3" max="3" width="24" customWidth="1"/>
    <col min="4" max="4" width="46" customWidth="1"/>
    <col min="5" max="5" width="12" customWidth="1"/>
    <col min="6" max="6" width="10" customWidth="1"/>
    <col min="7" max="7" width="40" customWidth="1"/>
    <col min="8" max="8" width="16" customWidth="1"/>
  </cols>
  <sheetData>
    <row r="1" spans="1:8" ht="33.75" customHeight="1" x14ac:dyDescent="0.3">
      <c r="A1" s="20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</row>
    <row r="2" spans="1:8" ht="45.75" customHeight="1" x14ac:dyDescent="0.3">
      <c r="A2" s="21">
        <v>1</v>
      </c>
      <c r="B2" s="22" t="s">
        <v>47</v>
      </c>
      <c r="C2" s="22" t="s">
        <v>48</v>
      </c>
      <c r="D2" s="22" t="s">
        <v>49</v>
      </c>
      <c r="E2" s="23" t="s">
        <v>50</v>
      </c>
      <c r="F2" s="21">
        <v>3</v>
      </c>
      <c r="G2" s="22" t="s">
        <v>51</v>
      </c>
      <c r="H2" s="22" t="s">
        <v>52</v>
      </c>
    </row>
    <row r="3" spans="1:8" ht="45.75" customHeight="1" x14ac:dyDescent="0.3">
      <c r="A3" s="21">
        <v>2</v>
      </c>
      <c r="B3" s="22" t="s">
        <v>47</v>
      </c>
      <c r="C3" s="22" t="s">
        <v>48</v>
      </c>
      <c r="D3" s="22" t="s">
        <v>53</v>
      </c>
      <c r="E3" s="23" t="s">
        <v>50</v>
      </c>
      <c r="F3" s="21">
        <v>5</v>
      </c>
      <c r="G3" s="22" t="s">
        <v>54</v>
      </c>
      <c r="H3" s="22" t="s">
        <v>52</v>
      </c>
    </row>
    <row r="4" spans="1:8" ht="45.75" customHeight="1" x14ac:dyDescent="0.3">
      <c r="A4" s="21">
        <v>3</v>
      </c>
      <c r="B4" s="22" t="s">
        <v>47</v>
      </c>
      <c r="C4" s="22" t="s">
        <v>55</v>
      </c>
      <c r="D4" s="22" t="s">
        <v>56</v>
      </c>
      <c r="E4" s="23" t="s">
        <v>50</v>
      </c>
      <c r="F4" s="21">
        <v>5</v>
      </c>
      <c r="G4" s="22" t="s">
        <v>57</v>
      </c>
      <c r="H4" s="22" t="s">
        <v>52</v>
      </c>
    </row>
    <row r="5" spans="1:8" ht="45.75" customHeight="1" x14ac:dyDescent="0.3">
      <c r="A5" s="21">
        <v>4</v>
      </c>
      <c r="B5" s="22" t="s">
        <v>47</v>
      </c>
      <c r="C5" s="22" t="s">
        <v>58</v>
      </c>
      <c r="D5" s="22" t="s">
        <v>59</v>
      </c>
      <c r="E5" s="23" t="s">
        <v>50</v>
      </c>
      <c r="F5" s="21">
        <v>8</v>
      </c>
      <c r="G5" s="22" t="s">
        <v>60</v>
      </c>
      <c r="H5" s="22" t="s">
        <v>52</v>
      </c>
    </row>
    <row r="6" spans="1:8" ht="45.75" customHeight="1" x14ac:dyDescent="0.3">
      <c r="A6" s="21">
        <v>5</v>
      </c>
      <c r="B6" s="22" t="s">
        <v>47</v>
      </c>
      <c r="C6" s="22" t="s">
        <v>61</v>
      </c>
      <c r="D6" s="22" t="s">
        <v>62</v>
      </c>
      <c r="E6" s="23" t="s">
        <v>50</v>
      </c>
      <c r="F6" s="21">
        <v>3</v>
      </c>
      <c r="G6" s="22" t="s">
        <v>63</v>
      </c>
      <c r="H6" s="22" t="s">
        <v>52</v>
      </c>
    </row>
    <row r="7" spans="1:8" ht="45.75" customHeight="1" x14ac:dyDescent="0.3">
      <c r="A7" s="21">
        <v>6</v>
      </c>
      <c r="B7" s="22" t="s">
        <v>47</v>
      </c>
      <c r="C7" s="22" t="s">
        <v>64</v>
      </c>
      <c r="D7" s="22" t="s">
        <v>65</v>
      </c>
      <c r="E7" s="23" t="s">
        <v>50</v>
      </c>
      <c r="F7" s="21">
        <v>5</v>
      </c>
      <c r="G7" s="22" t="s">
        <v>66</v>
      </c>
      <c r="H7" s="22" t="s">
        <v>52</v>
      </c>
    </row>
    <row r="8" spans="1:8" ht="45.75" customHeight="1" x14ac:dyDescent="0.3">
      <c r="A8" s="21">
        <v>7</v>
      </c>
      <c r="B8" s="22" t="s">
        <v>47</v>
      </c>
      <c r="C8" s="22" t="s">
        <v>64</v>
      </c>
      <c r="D8" s="22" t="s">
        <v>67</v>
      </c>
      <c r="E8" s="24" t="s">
        <v>68</v>
      </c>
      <c r="F8" s="21">
        <v>3</v>
      </c>
      <c r="G8" s="22" t="s">
        <v>69</v>
      </c>
      <c r="H8" s="22" t="s">
        <v>52</v>
      </c>
    </row>
    <row r="9" spans="1:8" ht="45.75" customHeight="1" x14ac:dyDescent="0.3">
      <c r="A9" s="21">
        <v>8</v>
      </c>
      <c r="B9" s="22" t="s">
        <v>47</v>
      </c>
      <c r="C9" s="22" t="s">
        <v>70</v>
      </c>
      <c r="D9" s="22" t="s">
        <v>71</v>
      </c>
      <c r="E9" s="23" t="s">
        <v>50</v>
      </c>
      <c r="F9" s="21">
        <v>5</v>
      </c>
      <c r="G9" s="22" t="s">
        <v>72</v>
      </c>
      <c r="H9" s="22" t="s">
        <v>52</v>
      </c>
    </row>
    <row r="10" spans="1:8" ht="45.75" customHeight="1" x14ac:dyDescent="0.3">
      <c r="A10" s="21">
        <v>9</v>
      </c>
      <c r="B10" s="22" t="s">
        <v>47</v>
      </c>
      <c r="C10" s="22" t="s">
        <v>73</v>
      </c>
      <c r="D10" s="22" t="s">
        <v>74</v>
      </c>
      <c r="E10" s="23" t="s">
        <v>50</v>
      </c>
      <c r="F10" s="21">
        <v>3</v>
      </c>
      <c r="G10" s="22" t="s">
        <v>75</v>
      </c>
      <c r="H10" s="22" t="s">
        <v>52</v>
      </c>
    </row>
    <row r="11" spans="1:8" ht="45.75" customHeight="1" x14ac:dyDescent="0.3">
      <c r="A11" s="25">
        <v>10</v>
      </c>
      <c r="B11" s="26" t="s">
        <v>76</v>
      </c>
      <c r="C11" s="26" t="s">
        <v>77</v>
      </c>
      <c r="D11" s="26" t="s">
        <v>78</v>
      </c>
      <c r="E11" s="24" t="s">
        <v>68</v>
      </c>
      <c r="F11" s="25"/>
      <c r="G11" s="26" t="s">
        <v>79</v>
      </c>
      <c r="H11" s="26" t="s">
        <v>80</v>
      </c>
    </row>
    <row r="12" spans="1:8" ht="45.75" customHeight="1" x14ac:dyDescent="0.3">
      <c r="A12" s="25">
        <v>11</v>
      </c>
      <c r="B12" s="26" t="s">
        <v>76</v>
      </c>
      <c r="C12" s="26" t="s">
        <v>81</v>
      </c>
      <c r="D12" s="26" t="s">
        <v>82</v>
      </c>
      <c r="E12" s="24" t="s">
        <v>68</v>
      </c>
      <c r="F12" s="25"/>
      <c r="G12" s="26" t="s">
        <v>83</v>
      </c>
      <c r="H12" s="26" t="s">
        <v>80</v>
      </c>
    </row>
    <row r="13" spans="1:8" ht="45.75" customHeight="1" x14ac:dyDescent="0.3">
      <c r="A13" s="25">
        <v>12</v>
      </c>
      <c r="B13" s="26" t="s">
        <v>76</v>
      </c>
      <c r="C13" s="26" t="s">
        <v>84</v>
      </c>
      <c r="D13" s="26" t="s">
        <v>85</v>
      </c>
      <c r="E13" s="24" t="s">
        <v>68</v>
      </c>
      <c r="F13" s="25"/>
      <c r="G13" s="26" t="s">
        <v>86</v>
      </c>
      <c r="H13" s="26" t="s">
        <v>80</v>
      </c>
    </row>
    <row r="14" spans="1:8" ht="45.75" customHeight="1" x14ac:dyDescent="0.3">
      <c r="A14" s="25">
        <v>13</v>
      </c>
      <c r="B14" s="26" t="s">
        <v>76</v>
      </c>
      <c r="C14" s="26" t="s">
        <v>87</v>
      </c>
      <c r="D14" s="26" t="s">
        <v>88</v>
      </c>
      <c r="E14" s="24" t="s">
        <v>68</v>
      </c>
      <c r="F14" s="25"/>
      <c r="G14" s="26" t="s">
        <v>89</v>
      </c>
      <c r="H14" s="26" t="s">
        <v>80</v>
      </c>
    </row>
    <row r="15" spans="1:8" ht="45.75" customHeight="1" x14ac:dyDescent="0.3">
      <c r="A15" s="25">
        <v>14</v>
      </c>
      <c r="B15" s="26" t="s">
        <v>76</v>
      </c>
      <c r="C15" s="26" t="s">
        <v>90</v>
      </c>
      <c r="D15" s="26" t="s">
        <v>91</v>
      </c>
      <c r="E15" s="23" t="s">
        <v>50</v>
      </c>
      <c r="F15" s="25"/>
      <c r="G15" s="26" t="s">
        <v>92</v>
      </c>
      <c r="H15" s="26" t="s">
        <v>80</v>
      </c>
    </row>
    <row r="16" spans="1:8" ht="45.75" customHeight="1" x14ac:dyDescent="0.3">
      <c r="A16" s="27">
        <v>15</v>
      </c>
      <c r="B16" s="28" t="s">
        <v>93</v>
      </c>
      <c r="C16" s="28" t="s">
        <v>94</v>
      </c>
      <c r="D16" s="28" t="s">
        <v>95</v>
      </c>
      <c r="E16" s="29" t="s">
        <v>96</v>
      </c>
      <c r="F16" s="27"/>
      <c r="G16" s="28" t="s">
        <v>97</v>
      </c>
      <c r="H16" s="28" t="s">
        <v>98</v>
      </c>
    </row>
    <row r="17" spans="1:8" ht="45.75" customHeight="1" x14ac:dyDescent="0.3">
      <c r="A17" s="27">
        <v>16</v>
      </c>
      <c r="B17" s="28" t="s">
        <v>93</v>
      </c>
      <c r="C17" s="28" t="s">
        <v>99</v>
      </c>
      <c r="D17" s="28" t="s">
        <v>100</v>
      </c>
      <c r="E17" s="29" t="s">
        <v>96</v>
      </c>
      <c r="F17" s="27"/>
      <c r="G17" s="28" t="s">
        <v>101</v>
      </c>
      <c r="H17" s="28" t="s">
        <v>98</v>
      </c>
    </row>
    <row r="18" spans="1:8" ht="45.75" customHeight="1" x14ac:dyDescent="0.3">
      <c r="A18" s="27">
        <v>17</v>
      </c>
      <c r="B18" s="28" t="s">
        <v>93</v>
      </c>
      <c r="C18" s="28" t="s">
        <v>102</v>
      </c>
      <c r="D18" s="28" t="s">
        <v>103</v>
      </c>
      <c r="E18" s="29" t="s">
        <v>96</v>
      </c>
      <c r="F18" s="27"/>
      <c r="G18" s="28" t="s">
        <v>104</v>
      </c>
      <c r="H18" s="28" t="s">
        <v>98</v>
      </c>
    </row>
    <row r="19" spans="1:8" ht="45.75" customHeight="1" x14ac:dyDescent="0.3">
      <c r="A19" s="27">
        <v>18</v>
      </c>
      <c r="B19" s="28" t="s">
        <v>93</v>
      </c>
      <c r="C19" s="28" t="s">
        <v>105</v>
      </c>
      <c r="D19" s="28" t="s">
        <v>106</v>
      </c>
      <c r="E19" s="30" t="s">
        <v>107</v>
      </c>
      <c r="F19" s="27"/>
      <c r="G19" s="28" t="s">
        <v>108</v>
      </c>
      <c r="H19" s="28" t="s">
        <v>98</v>
      </c>
    </row>
    <row r="20" spans="1:8" ht="45.75" customHeight="1" x14ac:dyDescent="0.3">
      <c r="A20" s="27">
        <v>19</v>
      </c>
      <c r="B20" s="28" t="s">
        <v>93</v>
      </c>
      <c r="C20" s="28" t="s">
        <v>109</v>
      </c>
      <c r="D20" s="28" t="s">
        <v>110</v>
      </c>
      <c r="E20" s="30" t="s">
        <v>107</v>
      </c>
      <c r="F20" s="27"/>
      <c r="G20" s="28" t="s">
        <v>111</v>
      </c>
      <c r="H20" s="28" t="s">
        <v>98</v>
      </c>
    </row>
    <row r="21" spans="1:8" ht="45.75" customHeight="1" x14ac:dyDescent="0.3">
      <c r="A21" s="27">
        <v>20</v>
      </c>
      <c r="B21" s="28" t="s">
        <v>93</v>
      </c>
      <c r="C21" s="28" t="s">
        <v>112</v>
      </c>
      <c r="D21" s="28" t="s">
        <v>113</v>
      </c>
      <c r="E21" s="30" t="s">
        <v>107</v>
      </c>
      <c r="F21" s="27"/>
      <c r="G21" s="28" t="s">
        <v>114</v>
      </c>
      <c r="H21" s="28" t="s">
        <v>98</v>
      </c>
    </row>
    <row r="23" spans="1:8" x14ac:dyDescent="0.3">
      <c r="B23" s="31" t="s">
        <v>115</v>
      </c>
    </row>
    <row r="24" spans="1:8" x14ac:dyDescent="0.3">
      <c r="B24" s="32" t="s">
        <v>116</v>
      </c>
      <c r="C24" s="31">
        <f>COUNTIF(B2:B21,"Now")</f>
        <v>9</v>
      </c>
    </row>
    <row r="25" spans="1:8" x14ac:dyDescent="0.3">
      <c r="B25" s="32" t="s">
        <v>117</v>
      </c>
      <c r="C25" s="31">
        <f>COUNTIF(B2:B21,"Next")</f>
        <v>5</v>
      </c>
    </row>
    <row r="26" spans="1:8" x14ac:dyDescent="0.3">
      <c r="B26" s="32" t="s">
        <v>118</v>
      </c>
      <c r="C26" s="31">
        <f>COUNTIF(B2:B21,"Later")</f>
        <v>6</v>
      </c>
    </row>
    <row r="27" spans="1:8" x14ac:dyDescent="0.3">
      <c r="B27" s="32" t="s">
        <v>119</v>
      </c>
      <c r="C27" s="31">
        <f>COUNTA(A2:A21)</f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1"/>
  <sheetViews>
    <sheetView showGridLines="0" tabSelected="1" topLeftCell="A30" zoomScaleNormal="100" workbookViewId="0"/>
  </sheetViews>
  <sheetFormatPr baseColWidth="10" defaultColWidth="8.6640625" defaultRowHeight="14.4" x14ac:dyDescent="0.3"/>
  <cols>
    <col min="1" max="1" width="2" customWidth="1"/>
    <col min="2" max="2" width="32" customWidth="1"/>
    <col min="3" max="3" width="2" customWidth="1"/>
    <col min="4" max="4" width="32" customWidth="1"/>
    <col min="5" max="5" width="2" customWidth="1"/>
    <col min="6" max="6" width="32" customWidth="1"/>
    <col min="7" max="7" width="2" customWidth="1"/>
  </cols>
  <sheetData>
    <row r="2" spans="2:6" ht="21" x14ac:dyDescent="0.4">
      <c r="B2" s="11" t="s">
        <v>120</v>
      </c>
      <c r="C2" s="11"/>
      <c r="D2" s="11"/>
      <c r="E2" s="11"/>
      <c r="F2" s="11"/>
    </row>
    <row r="3" spans="2:6" x14ac:dyDescent="0.3">
      <c r="B3" s="7" t="s">
        <v>121</v>
      </c>
      <c r="C3" s="7"/>
      <c r="D3" s="7"/>
      <c r="E3" s="7"/>
      <c r="F3" s="7"/>
    </row>
    <row r="5" spans="2:6" ht="39.75" customHeight="1" x14ac:dyDescent="0.3">
      <c r="B5" s="33" t="s">
        <v>122</v>
      </c>
      <c r="D5" s="34" t="s">
        <v>123</v>
      </c>
      <c r="F5" s="35" t="s">
        <v>124</v>
      </c>
    </row>
    <row r="6" spans="2:6" ht="15" customHeight="1" x14ac:dyDescent="0.3">
      <c r="B6" s="6" t="s">
        <v>125</v>
      </c>
      <c r="D6" s="5" t="s">
        <v>126</v>
      </c>
      <c r="F6" s="4" t="s">
        <v>94</v>
      </c>
    </row>
    <row r="7" spans="2:6" ht="15" customHeight="1" x14ac:dyDescent="0.3">
      <c r="B7" s="6"/>
      <c r="D7" s="5"/>
      <c r="F7" s="4"/>
    </row>
    <row r="8" spans="2:6" ht="15" customHeight="1" x14ac:dyDescent="0.3">
      <c r="B8" s="3" t="s">
        <v>127</v>
      </c>
      <c r="D8" s="3" t="s">
        <v>128</v>
      </c>
      <c r="F8" s="3" t="s">
        <v>129</v>
      </c>
    </row>
    <row r="9" spans="2:6" ht="15" customHeight="1" x14ac:dyDescent="0.3">
      <c r="B9" s="3"/>
      <c r="D9" s="3"/>
      <c r="F9" s="3"/>
    </row>
    <row r="10" spans="2:6" ht="15" customHeight="1" x14ac:dyDescent="0.3">
      <c r="B10" s="3"/>
      <c r="D10" s="3"/>
      <c r="F10" s="3"/>
    </row>
    <row r="11" spans="2:6" ht="15" customHeight="1" x14ac:dyDescent="0.3"/>
    <row r="12" spans="2:6" ht="15" customHeight="1" x14ac:dyDescent="0.3">
      <c r="B12" s="6" t="s">
        <v>130</v>
      </c>
      <c r="D12" s="5" t="s">
        <v>131</v>
      </c>
      <c r="F12" s="4" t="s">
        <v>99</v>
      </c>
    </row>
    <row r="13" spans="2:6" ht="15" customHeight="1" x14ac:dyDescent="0.3">
      <c r="B13" s="6"/>
      <c r="D13" s="5"/>
      <c r="F13" s="4"/>
    </row>
    <row r="14" spans="2:6" ht="15" customHeight="1" x14ac:dyDescent="0.3">
      <c r="B14" s="3" t="s">
        <v>132</v>
      </c>
      <c r="D14" s="3" t="s">
        <v>133</v>
      </c>
      <c r="F14" s="3" t="s">
        <v>134</v>
      </c>
    </row>
    <row r="15" spans="2:6" ht="15" customHeight="1" x14ac:dyDescent="0.3">
      <c r="B15" s="3"/>
      <c r="D15" s="3"/>
      <c r="F15" s="3"/>
    </row>
    <row r="16" spans="2:6" ht="15" customHeight="1" x14ac:dyDescent="0.3">
      <c r="B16" s="3"/>
      <c r="D16" s="3"/>
      <c r="F16" s="3"/>
    </row>
    <row r="17" spans="2:6" ht="15" customHeight="1" x14ac:dyDescent="0.3"/>
    <row r="18" spans="2:6" ht="15" customHeight="1" x14ac:dyDescent="0.3">
      <c r="B18" s="6" t="s">
        <v>58</v>
      </c>
      <c r="D18" s="5" t="s">
        <v>84</v>
      </c>
      <c r="F18" s="4" t="s">
        <v>135</v>
      </c>
    </row>
    <row r="19" spans="2:6" ht="15" customHeight="1" x14ac:dyDescent="0.3">
      <c r="B19" s="6"/>
      <c r="D19" s="5"/>
      <c r="F19" s="4"/>
    </row>
    <row r="20" spans="2:6" ht="15" customHeight="1" x14ac:dyDescent="0.3">
      <c r="B20" s="3" t="s">
        <v>136</v>
      </c>
      <c r="D20" s="3" t="s">
        <v>137</v>
      </c>
      <c r="F20" s="3" t="s">
        <v>138</v>
      </c>
    </row>
    <row r="21" spans="2:6" ht="15" customHeight="1" x14ac:dyDescent="0.3">
      <c r="B21" s="3"/>
      <c r="D21" s="3"/>
      <c r="F21" s="3"/>
    </row>
    <row r="22" spans="2:6" ht="15" customHeight="1" x14ac:dyDescent="0.3">
      <c r="B22" s="3"/>
      <c r="D22" s="3"/>
      <c r="F22" s="3"/>
    </row>
    <row r="23" spans="2:6" ht="15" customHeight="1" x14ac:dyDescent="0.3"/>
    <row r="24" spans="2:6" ht="15" customHeight="1" x14ac:dyDescent="0.3">
      <c r="B24" s="6" t="s">
        <v>61</v>
      </c>
      <c r="D24" s="5" t="s">
        <v>139</v>
      </c>
      <c r="F24" s="4" t="s">
        <v>105</v>
      </c>
    </row>
    <row r="25" spans="2:6" ht="15" customHeight="1" x14ac:dyDescent="0.3">
      <c r="B25" s="6"/>
      <c r="D25" s="5"/>
      <c r="F25" s="4"/>
    </row>
    <row r="26" spans="2:6" ht="15" customHeight="1" x14ac:dyDescent="0.3">
      <c r="B26" s="3" t="s">
        <v>140</v>
      </c>
      <c r="D26" s="3" t="s">
        <v>141</v>
      </c>
      <c r="F26" s="3" t="s">
        <v>142</v>
      </c>
    </row>
    <row r="27" spans="2:6" ht="15" customHeight="1" x14ac:dyDescent="0.3">
      <c r="B27" s="3"/>
      <c r="D27" s="3"/>
      <c r="F27" s="3"/>
    </row>
    <row r="28" spans="2:6" ht="15" customHeight="1" x14ac:dyDescent="0.3">
      <c r="B28" s="3"/>
      <c r="D28" s="3"/>
      <c r="F28" s="3"/>
    </row>
    <row r="29" spans="2:6" ht="15" customHeight="1" x14ac:dyDescent="0.3"/>
    <row r="30" spans="2:6" ht="15" customHeight="1" x14ac:dyDescent="0.3">
      <c r="B30" s="6" t="s">
        <v>143</v>
      </c>
      <c r="D30" s="5" t="s">
        <v>90</v>
      </c>
      <c r="F30" s="4" t="s">
        <v>109</v>
      </c>
    </row>
    <row r="31" spans="2:6" ht="15" customHeight="1" x14ac:dyDescent="0.3">
      <c r="B31" s="6"/>
      <c r="D31" s="5"/>
      <c r="F31" s="4"/>
    </row>
    <row r="32" spans="2:6" ht="15" customHeight="1" x14ac:dyDescent="0.3">
      <c r="B32" s="3" t="s">
        <v>144</v>
      </c>
      <c r="D32" s="3" t="s">
        <v>145</v>
      </c>
      <c r="F32" s="3" t="s">
        <v>146</v>
      </c>
    </row>
    <row r="33" spans="2:6" ht="15" customHeight="1" x14ac:dyDescent="0.3">
      <c r="B33" s="3"/>
      <c r="D33" s="3"/>
      <c r="F33" s="3"/>
    </row>
    <row r="34" spans="2:6" ht="15" customHeight="1" x14ac:dyDescent="0.3">
      <c r="B34" s="3"/>
      <c r="D34" s="3"/>
      <c r="F34" s="3"/>
    </row>
    <row r="35" spans="2:6" ht="15" customHeight="1" x14ac:dyDescent="0.3"/>
    <row r="36" spans="2:6" ht="15" customHeight="1" x14ac:dyDescent="0.3">
      <c r="B36" s="6" t="s">
        <v>147</v>
      </c>
      <c r="F36" s="4" t="s">
        <v>112</v>
      </c>
    </row>
    <row r="37" spans="2:6" ht="15" customHeight="1" x14ac:dyDescent="0.3">
      <c r="B37" s="6"/>
      <c r="F37" s="4"/>
    </row>
    <row r="38" spans="2:6" ht="15" customHeight="1" x14ac:dyDescent="0.3">
      <c r="B38" s="3" t="s">
        <v>148</v>
      </c>
      <c r="F38" s="3" t="s">
        <v>149</v>
      </c>
    </row>
    <row r="39" spans="2:6" ht="15" customHeight="1" x14ac:dyDescent="0.3">
      <c r="B39" s="3"/>
      <c r="F39" s="3"/>
    </row>
    <row r="40" spans="2:6" ht="15" customHeight="1" x14ac:dyDescent="0.3">
      <c r="B40" s="3"/>
      <c r="F40" s="3"/>
    </row>
    <row r="41" spans="2:6" ht="15" customHeight="1" x14ac:dyDescent="0.3"/>
  </sheetData>
  <mergeCells count="36">
    <mergeCell ref="B38:B40"/>
    <mergeCell ref="F38:F40"/>
    <mergeCell ref="B32:B34"/>
    <mergeCell ref="D32:D34"/>
    <mergeCell ref="F32:F34"/>
    <mergeCell ref="B36:B37"/>
    <mergeCell ref="F36:F37"/>
    <mergeCell ref="B26:B28"/>
    <mergeCell ref="D26:D28"/>
    <mergeCell ref="F26:F28"/>
    <mergeCell ref="B30:B31"/>
    <mergeCell ref="D30:D31"/>
    <mergeCell ref="F30:F31"/>
    <mergeCell ref="B20:B22"/>
    <mergeCell ref="D20:D22"/>
    <mergeCell ref="F20:F22"/>
    <mergeCell ref="B24:B25"/>
    <mergeCell ref="D24:D25"/>
    <mergeCell ref="F24:F25"/>
    <mergeCell ref="B14:B16"/>
    <mergeCell ref="D14:D16"/>
    <mergeCell ref="F14:F16"/>
    <mergeCell ref="B18:B19"/>
    <mergeCell ref="D18:D19"/>
    <mergeCell ref="F18:F19"/>
    <mergeCell ref="B8:B10"/>
    <mergeCell ref="D8:D10"/>
    <mergeCell ref="F8:F10"/>
    <mergeCell ref="B12:B13"/>
    <mergeCell ref="D12:D13"/>
    <mergeCell ref="F12:F13"/>
    <mergeCell ref="B2:F2"/>
    <mergeCell ref="B3:F3"/>
    <mergeCell ref="B6:B7"/>
    <mergeCell ref="D6:D7"/>
    <mergeCell ref="F6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"/>
  <sheetViews>
    <sheetView showGridLines="0" topLeftCell="A3" zoomScaleNormal="100" workbookViewId="0">
      <selection activeCell="B10" sqref="B10:D10"/>
    </sheetView>
  </sheetViews>
  <sheetFormatPr baseColWidth="10" defaultColWidth="8.6640625" defaultRowHeight="14.4" x14ac:dyDescent="0.3"/>
  <cols>
    <col min="1" max="1" width="4" customWidth="1"/>
    <col min="2" max="2" width="26" customWidth="1"/>
    <col min="3" max="3" width="44" customWidth="1"/>
    <col min="4" max="4" width="30" customWidth="1"/>
    <col min="5" max="5" width="4" customWidth="1"/>
  </cols>
  <sheetData>
    <row r="2" spans="2:4" ht="19.2" x14ac:dyDescent="0.35">
      <c r="B2" s="2" t="s">
        <v>150</v>
      </c>
      <c r="C2" s="2"/>
      <c r="D2" s="2"/>
    </row>
    <row r="3" spans="2:4" x14ac:dyDescent="0.3">
      <c r="B3" s="7" t="s">
        <v>151</v>
      </c>
      <c r="C3" s="7"/>
      <c r="D3" s="7"/>
    </row>
    <row r="5" spans="2:4" ht="21.75" customHeight="1" x14ac:dyDescent="0.3">
      <c r="B5" s="20" t="s">
        <v>152</v>
      </c>
      <c r="C5" s="20" t="s">
        <v>153</v>
      </c>
      <c r="D5" s="20" t="s">
        <v>154</v>
      </c>
    </row>
    <row r="6" spans="2:4" ht="69.75" customHeight="1" x14ac:dyDescent="0.3">
      <c r="B6" s="36" t="s">
        <v>155</v>
      </c>
      <c r="C6" s="37" t="s">
        <v>156</v>
      </c>
      <c r="D6" s="16" t="s">
        <v>157</v>
      </c>
    </row>
    <row r="7" spans="2:4" ht="69.75" customHeight="1" x14ac:dyDescent="0.3">
      <c r="B7" s="36" t="s">
        <v>155</v>
      </c>
      <c r="C7" s="37" t="s">
        <v>158</v>
      </c>
      <c r="D7" s="16" t="s">
        <v>159</v>
      </c>
    </row>
    <row r="8" spans="2:4" ht="69.75" customHeight="1" x14ac:dyDescent="0.3">
      <c r="B8" s="38" t="s">
        <v>160</v>
      </c>
      <c r="C8" s="37" t="s">
        <v>161</v>
      </c>
      <c r="D8" s="16" t="s">
        <v>162</v>
      </c>
    </row>
    <row r="10" spans="2:4" ht="30" customHeight="1" x14ac:dyDescent="0.3">
      <c r="B10" s="1"/>
      <c r="C10" s="1"/>
      <c r="D10" s="1"/>
    </row>
  </sheetData>
  <mergeCells count="3">
    <mergeCell ref="B2:D2"/>
    <mergeCell ref="B3:D3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MVP e Hipótesis</vt:lpstr>
      <vt:lpstr>Backlog</vt:lpstr>
      <vt:lpstr>Roadmap Visual</vt:lpstr>
      <vt:lpstr>Release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 Vera</cp:lastModifiedBy>
  <cp:revision>0</cp:revision>
  <dcterms:created xsi:type="dcterms:W3CDTF">2026-08-07T01:05:41Z</dcterms:created>
  <dcterms:modified xsi:type="dcterms:W3CDTF">2026-08-07T01:10:49Z</dcterms:modified>
  <dc:language>en-US</dc:language>
</cp:coreProperties>
</file>