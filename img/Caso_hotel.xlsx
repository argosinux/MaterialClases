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a7d4dbabab7fad8/Escritorio/Pages/MaterialClases/img/"/>
    </mc:Choice>
  </mc:AlternateContent>
  <xr:revisionPtr revIDLastSave="4" documentId="11_41A4F3D452EC416D8DFAB4C4A571E8D08186B5E7" xr6:coauthVersionLast="47" xr6:coauthVersionMax="47" xr10:uidLastSave="{A0D38313-DF0C-4A8D-A6C7-7B7517DEB914}"/>
  <bookViews>
    <workbookView xWindow="5160" yWindow="0" windowWidth="13824" windowHeight="7536" tabRatio="781" firstSheet="3" activeTab="8" xr2:uid="{00000000-000D-0000-FFFF-FFFF00000000}"/>
  </bookViews>
  <sheets>
    <sheet name="Guía" sheetId="1" r:id="rId1"/>
    <sheet name="Buyer Persona" sheetId="2" r:id="rId2"/>
    <sheet name="Reseñas y Encuesta" sheetId="3" r:id="rId3"/>
    <sheet name="Respuestas Encuesta" sheetId="4" r:id="rId4"/>
    <sheet name="Indicadores" sheetId="5" r:id="rId5"/>
    <sheet name="Customer Journey Map" sheetId="6" r:id="rId6"/>
    <sheet name="Customer Journey Map (To Be)" sheetId="7" r:id="rId7"/>
    <sheet name="Service Blueprint" sheetId="8" r:id="rId8"/>
    <sheet name="Insights y Oportunidad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5" l="1"/>
  <c r="B40" i="5"/>
  <c r="B39" i="5"/>
  <c r="B38" i="5"/>
  <c r="B37" i="5"/>
  <c r="B42" i="5" s="1"/>
  <c r="C42" i="5" s="1"/>
  <c r="B27" i="5"/>
  <c r="C19" i="5"/>
  <c r="B19" i="5"/>
  <c r="D19" i="5" s="1"/>
  <c r="E19" i="5" s="1"/>
  <c r="C18" i="5"/>
  <c r="B18" i="5"/>
  <c r="D18" i="5" s="1"/>
  <c r="E18" i="5" s="1"/>
  <c r="C17" i="5"/>
  <c r="B17" i="5"/>
  <c r="D17" i="5" s="1"/>
  <c r="E17" i="5" s="1"/>
  <c r="C16" i="5"/>
  <c r="B16" i="5"/>
  <c r="D16" i="5" s="1"/>
  <c r="E16" i="5" s="1"/>
  <c r="C15" i="5"/>
  <c r="B15" i="5"/>
  <c r="D15" i="5" s="1"/>
  <c r="E15" i="5" s="1"/>
  <c r="B11" i="5"/>
  <c r="D11" i="5" s="1"/>
  <c r="B10" i="5"/>
  <c r="D10" i="5" s="1"/>
  <c r="B9" i="5"/>
  <c r="D9" i="5" s="1"/>
  <c r="B8" i="5"/>
  <c r="D8" i="5" s="1"/>
  <c r="B7" i="5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B28" i="5" s="1"/>
  <c r="E8" i="4"/>
  <c r="E7" i="4"/>
  <c r="E6" i="4"/>
  <c r="D28" i="3"/>
  <c r="D27" i="3"/>
  <c r="D26" i="3"/>
  <c r="B26" i="5" l="1"/>
  <c r="B29" i="5" l="1"/>
  <c r="B31" i="5" s="1"/>
  <c r="C31" i="5" s="1"/>
  <c r="C26" i="5"/>
  <c r="C27" i="5"/>
  <c r="C28" i="5"/>
</calcChain>
</file>

<file path=xl/sharedStrings.xml><?xml version="1.0" encoding="utf-8"?>
<sst xmlns="http://schemas.openxmlformats.org/spreadsheetml/2006/main" count="826" uniqueCount="542">
  <si>
    <t>Hotel Costa Azul — Perfil de Huésped y Experiencia</t>
  </si>
  <si>
    <t>Cómo usar este archivo</t>
  </si>
  <si>
    <t>Pestaña</t>
  </si>
  <si>
    <t>Contenido</t>
  </si>
  <si>
    <t>Qué hacer</t>
  </si>
  <si>
    <t>Buyer Persona</t>
  </si>
  <si>
    <t>Ficha de Marcela Fontana, persona ficticia que representa al segmento de familias que viajan en temporada alta: datos generales, objetivos, frustraciones (ligadas a los hallazgos), motivaciones y factores de decisión.</t>
  </si>
  <si>
    <t>Usar como referencia rápida de 'para quién' se diseña el resto del archivo (reseñas, CJM, blueprint).</t>
  </si>
  <si>
    <t>Reseñas y Encuesta</t>
  </si>
  <si>
    <t>Reseñas ficticias de Google Maps y Booking.com, construidas para ilustrar 5 hallazgos típicos de un hotel pequeño familiar, y agregados de la encuesta (NPS, CSAT, CES) calculados desde 'Respuestas Encuesta'.</t>
  </si>
  <si>
    <t>Las reseñas ya están cargadas. Los agregados de encuesta se recalculan solos cuando actualices la base de respuestas.</t>
  </si>
  <si>
    <t>Respuestas Encuesta</t>
  </si>
  <si>
    <t>Base de 50 respuestas individuales de una encuesta exploratoria (dato de prueba/ficticio): NPS, CSAT, CES, aspecto valorado, categoría asociada y comentario.</t>
  </si>
  <si>
    <t>Reemplazar estas 50 filas por datos reales cuando existan; el resto del archivo se recalcula automáticamente.</t>
  </si>
  <si>
    <t>Indicadores</t>
  </si>
  <si>
    <t>Métricas calculadas automáticamente a partir de las reseñas y de las 50 respuestas de encuesta: rating promedio, % positivas/negativas, menciones por categoría, NPS y CSAT, cada uno con su definición e interpretación del resultado obtenido.</t>
  </si>
  <si>
    <t>No requiere carga manual: todo se recalcula solo desde 'Reseñas y Encuesta' y 'Respuestas Encuesta'.</t>
  </si>
  <si>
    <t>Customer Journey Map</t>
  </si>
  <si>
    <t>Mapa As Is de las 5 etapas / 10 subetapas del recorrido del huésped: descripción de cada etapa, touchpoints, acciones, emociones, dolores y oportunidades por subetapa.</t>
  </si>
  <si>
    <t>Base para trabajar en clase o ajustar con el grupo. Cada columna cita la evidencia de la que sale (reseña / hallazgo).</t>
  </si>
  <si>
    <t>Customer Journey Map (To Be)</t>
  </si>
  <si>
    <t>Misma estructura que el As Is, pero con el recorrido deseado: touchpoints mejorados, emociones esperadas, la mejora que resuelve cada dolor y el KPI para medirla.</t>
  </si>
  <si>
    <t>Usar para diseñar el plan de mejora; cada subetapa está vinculada al hallazgo del As Is que resuelve.</t>
  </si>
  <si>
    <t>Service Blueprint</t>
  </si>
  <si>
    <t>Complementa el CJM As Is con la vista interna del servicio: evidencia física, acciones del huésped, frontstage, backstage, procesos de soporte y punto de fallo potencial por subetapa.</t>
  </si>
  <si>
    <t>Usar para identificar qué proceso o sistema interno hay que ajustar para resolver cada punto de dolor del CJM.</t>
  </si>
  <si>
    <t>Insights y Oportunidades</t>
  </si>
  <si>
    <t>Síntesis de los 5 hallazgos con nivel de impacto y prioridad sugerida.</t>
  </si>
  <si>
    <t>Usar como tablero de priorización; el campo Prioridad tiene lista desplegable.</t>
  </si>
  <si>
    <t>Convención de colores</t>
  </si>
  <si>
    <t xml:space="preserve">  </t>
  </si>
  <si>
    <t>Celda para completar (input del usuario / dato de la encuesta)</t>
  </si>
  <si>
    <t>Indicador o comentario en rango positivo</t>
  </si>
  <si>
    <t>Indicador o comentario en rango negativo / de atención</t>
  </si>
  <si>
    <t>Buyer Persona — Marcela Fontana (perfil ficticio)</t>
  </si>
  <si>
    <t>Representa al segmento de familias que viajan en temporada alta (Hotel Costa Azul)</t>
  </si>
  <si>
    <t>Nota: es un personaje ficticio construido para un caso también ficticio (Hotel Costa Azul). No representa a una huésped real.</t>
  </si>
  <si>
    <t>Datos generales</t>
  </si>
  <si>
    <t>Nombre (ficticio)</t>
  </si>
  <si>
    <t>Marcela Fontana</t>
  </si>
  <si>
    <t>Edad</t>
  </si>
  <si>
    <t>41 años</t>
  </si>
  <si>
    <t>Ubicación</t>
  </si>
  <si>
    <t>CABA (viaja de vacaciones a la costa atlántica)</t>
  </si>
  <si>
    <t>Ocupación</t>
  </si>
  <si>
    <t>Contadora</t>
  </si>
  <si>
    <t>Estado civil</t>
  </si>
  <si>
    <t>Casada, dos hijos (10 y 7 años)</t>
  </si>
  <si>
    <t>Segmento</t>
  </si>
  <si>
    <t>Familias que viajan en temporada alta (mayor volumen y mayor exigencia de la estadía)</t>
  </si>
  <si>
    <t>Nivel socioeconómico</t>
  </si>
  <si>
    <t>Medio</t>
  </si>
  <si>
    <t>Rango etario del segmento</t>
  </si>
  <si>
    <t>30 a 50 años (adultos a cargo de la reserva familiar)</t>
  </si>
  <si>
    <t>Frecuencia de visita</t>
  </si>
  <si>
    <t>Una vez por año, en enero, desde hace 3 temporadas</t>
  </si>
  <si>
    <t>"No busco lujos, busco que mis hijos estén cómodos y que nos traten bien."</t>
  </si>
  <si>
    <t>Bio / Contexto</t>
  </si>
  <si>
    <t>Marcela organiza las vacaciones familiares de enero con bastante anticipación: compara varios hoteles en Booking y Google antes de decidir, priorizando la relación precio-calidad y la cercanía a la playa por sobre el lujo. Eligió el Hotel Costa Azul hace tres años y volvió cada temporada desde entonces, en gran parte porque los dueños la reconocen y la hacen sentir parte de 'la familia del hotel'. Viaja con su marido y sus dos hijos, así que valora mucho que el check-in sea rápido y que la habitación esté lista y en buenas condiciones cuando llega, cansada del viaje y con los chicos impacientes.</t>
  </si>
  <si>
    <t>Objetivos</t>
  </si>
  <si>
    <t>•  Encontrar un hotel con buena relación precio-calidad para vacacionar en familia.</t>
  </si>
  <si>
    <t>•  Que la habitación esté limpia, cómoda y en buen estado (aire acondicionado funcionando en temporada alta).</t>
  </si>
  <si>
    <t>•  Sentirse bien recibida, con un trato cálido y no solo transaccional.</t>
  </si>
  <si>
    <t>Frustraciones (ligadas a los hallazgos)</t>
  </si>
  <si>
    <t>Frustración</t>
  </si>
  <si>
    <t>Hallazgo relacionado</t>
  </si>
  <si>
    <t>El check-in a veces demora más de lo esperado, sobre todo en temporada alta.</t>
  </si>
  <si>
    <t>Hallazgo 2</t>
  </si>
  <si>
    <t>Alguna vez encontró problemas de mantenimiento (aire acondicionado, wifi) sin resolución rápida.</t>
  </si>
  <si>
    <t>Hallazgo 3</t>
  </si>
  <si>
    <t>Consultó por WhatsApp/Instagram antes de reservar y tardaron en responder.</t>
  </si>
  <si>
    <t>Hallazgo 4</t>
  </si>
  <si>
    <t>Sintió que el precio de temporada alta no se correspondía del todo con lo que recibía (ej. desayuno básico).</t>
  </si>
  <si>
    <t>Hallazgo 5</t>
  </si>
  <si>
    <t>Motivaciones</t>
  </si>
  <si>
    <t>•  Vacaciones familiares tranquilas y sin sorpresas.</t>
  </si>
  <si>
    <t>•  Trato cálido y personalizado (sentirse "como en familia").</t>
  </si>
  <si>
    <t>•  Buenas reseñas de otras familias en Booking y Google Maps.</t>
  </si>
  <si>
    <t>Canales digitales que usa</t>
  </si>
  <si>
    <t>Booking.com (para comparar y reservar), Google Maps (para leer y dejar reseñas), Instagram y WhatsApp (para consultas puntuales antes de viajar).</t>
  </si>
  <si>
    <t>Factores de decisión (de mayor a menor peso)</t>
  </si>
  <si>
    <t>1. Ubicación / cercanía a la playa.</t>
  </si>
  <si>
    <t>2. Relación precio-calidad.</t>
  </si>
  <si>
    <t>3. Trato cálido del personal y los dueños.</t>
  </si>
  <si>
    <t>4. Comodidades específicas (pileta, desayuno) para los chicos.</t>
  </si>
  <si>
    <t>Relación con la marca Hotel Costa Azul</t>
  </si>
  <si>
    <t>A diferencia de la cafetería (donde la lealtad estaba más atada a la sucursal y la rutina) o la clínica (donde el vínculo era con un profesional puntual), en Hotel Costa Azul la lealtad de Marcela está fuertemente ligada a los dueños y al ritual de 'volver cada verano al mismo lugar'. Es un vínculo emocional de largo plazo, casi familiar, que representa la principal ventaja competitiva frente a hoteles de cadena, pero también un riesgo: si depende demasiado de personas puntuales, un cambio de gestión podría debilitarlo.</t>
  </si>
  <si>
    <t>Voz del Huésped — Reseñas (Google Maps / Booking.com) y Encuesta Exploratoria</t>
  </si>
  <si>
    <t>Segmento analizado: familias que viajan en temporada alta (caso ficticio, Hotel Costa Azul)</t>
  </si>
  <si>
    <t>#</t>
  </si>
  <si>
    <t>Fuente</t>
  </si>
  <si>
    <t>Autor</t>
  </si>
  <si>
    <t>Calificación (1-5)</t>
  </si>
  <si>
    <t>Antigüedad</t>
  </si>
  <si>
    <t>Comentario (resumen)</t>
  </si>
  <si>
    <t>Categoría / Hallazgo</t>
  </si>
  <si>
    <t>Sentimiento</t>
  </si>
  <si>
    <t>Google Maps</t>
  </si>
  <si>
    <t>Hace 3 meses</t>
  </si>
  <si>
    <t>El trato de los dueños es espectacular, se acuerdan de vos de un año a otro. Nos sentimos como en casa.</t>
  </si>
  <si>
    <t>1) Calidez y trato del personal generan fidelidad</t>
  </si>
  <si>
    <t>Positivo</t>
  </si>
  <si>
    <t>Hernán Ríos</t>
  </si>
  <si>
    <t>Hace 1 año</t>
  </si>
  <si>
    <t>La atención personalizada hace la diferencia, siempre atentos a cualquier pedido.</t>
  </si>
  <si>
    <t>Booking.com</t>
  </si>
  <si>
    <t>Valeria Suárez</t>
  </si>
  <si>
    <t>Hace 8 meses</t>
  </si>
  <si>
    <t>Un hotel chico pero con un trato enorme. Volvemos todos los años.</t>
  </si>
  <si>
    <t>Reseña sin nombre (cita textual)</t>
  </si>
  <si>
    <t>N/D</t>
  </si>
  <si>
    <t>"Es como visitar a la familia, no un hotel más."</t>
  </si>
  <si>
    <t>Nicolás Aguirre</t>
  </si>
  <si>
    <t>Hace 5 meses</t>
  </si>
  <si>
    <t>La habitación bien, pero llegamos a las 13 y no estaba lista hasta las 15, sin aviso previo.</t>
  </si>
  <si>
    <t>2) Demoras en check-in en temporada alta</t>
  </si>
  <si>
    <t>Mixto</t>
  </si>
  <si>
    <t>Pilar Escobar</t>
  </si>
  <si>
    <t>Hace 2 meses</t>
  </si>
  <si>
    <t>El check-in tardó mucho, había una sola persona en recepción para atender a todos los que llegábamos juntos.</t>
  </si>
  <si>
    <t>Negativo</t>
  </si>
  <si>
    <t>Tomás Ledesma</t>
  </si>
  <si>
    <t>Hace 4 meses</t>
  </si>
  <si>
    <t>El aire acondicionado de la habitación no enfriaba bien y tardaron un día en solucionarlo.</t>
  </si>
  <si>
    <t>3) Fallas de mantenimiento (AC, wifi, limpieza)</t>
  </si>
  <si>
    <t>Antonella Rivas</t>
  </si>
  <si>
    <t>Hace 6 meses</t>
  </si>
  <si>
    <t>El wifi andaba muy mal en la habitación, tuvimos que trabajar desde el lobby.</t>
  </si>
  <si>
    <t>Instagram</t>
  </si>
  <si>
    <t>Varios usuarios (consultas espontáneas)</t>
  </si>
  <si>
    <t>Varias preguntas por disponibilidad y tarifas de enero, sin respuesta visible en varios comentarios.</t>
  </si>
  <si>
    <t>4) Oportunidad en consultas y reservas digitales</t>
  </si>
  <si>
    <t>Rocío Medina</t>
  </si>
  <si>
    <t>Quise consultar por WhatsApp si tenían cochera y tardaron dos días en contestarme.</t>
  </si>
  <si>
    <t>Ezequiel Farías</t>
  </si>
  <si>
    <t>Hace 1 mes</t>
  </si>
  <si>
    <t>El precio de temporada alta es muy caro para lo que ofrece, el desayuno es muy básico.</t>
  </si>
  <si>
    <t>5) Percepción de precio-valor en temporada alta</t>
  </si>
  <si>
    <t>Carolina Núñez</t>
  </si>
  <si>
    <t>Buena ubicación, pero sentí que la relación precio-calidad no es la mejor en enero.</t>
  </si>
  <si>
    <t>Bautista Medina</t>
  </si>
  <si>
    <t>Hace 7 meses</t>
  </si>
  <si>
    <t>Volvemos cada verano, el trato es único y eso vale más que cualquier detalle.</t>
  </si>
  <si>
    <t>Nota: reseñas 100% ficticias, redactadas para ilustrar 5 hallazgos típicos de un hotel pequeño familiar (Fuente simulada: Google Maps, Booking.com e Instagram). Las calificaciones en estrellas de Instagram no aplican (N/D).</t>
  </si>
  <si>
    <t>Encuesta exploratoria de percepción de huéspedes</t>
  </si>
  <si>
    <t>Los valores de abajo se calculan automáticamente a partir de las 50 respuestas cargadas en la pestaña 'Respuestas Encuesta' (dato de prueba/ficticio).</t>
  </si>
  <si>
    <t>Pregunta de la encuesta</t>
  </si>
  <si>
    <t>Tipo de respuesta</t>
  </si>
  <si>
    <t>Respuesta / Valor</t>
  </si>
  <si>
    <t>Escala</t>
  </si>
  <si>
    <t>¿Con qué probabilidad recomendarías Hotel Costa Azul a un familiar o amigo?</t>
  </si>
  <si>
    <t>Numérica (NPS)</t>
  </si>
  <si>
    <t>0 a 10</t>
  </si>
  <si>
    <t>¿Cómo calificarías tu satisfacción general con la estadía?</t>
  </si>
  <si>
    <t>Numérica (CSAT)</t>
  </si>
  <si>
    <t>1 a 5</t>
  </si>
  <si>
    <t>¿Qué tan rápido fue el check-in?</t>
  </si>
  <si>
    <t>Numérica (CES simplificado)</t>
  </si>
  <si>
    <t>¿Qué aspecto valorás más del hotel?</t>
  </si>
  <si>
    <t>Abierta / opción múltiple</t>
  </si>
  <si>
    <t>Ver detalle por respuesta en la pestaña 'Respuestas Encuesta', columna H</t>
  </si>
  <si>
    <t>Texto</t>
  </si>
  <si>
    <t>¿Qué mejorarías de tu estadía?</t>
  </si>
  <si>
    <t>Abierta</t>
  </si>
  <si>
    <t>Ver comentario y categoría asociada en la pestaña 'Respuestas Encuesta', columnas I-J</t>
  </si>
  <si>
    <t>⚠ Los promedios de arriba dependen de los datos de prueba (ficticios) cargados en 'Respuestas Encuesta'. Al reemplazar esa base por datos reales, estos valores se actualizan solos.</t>
  </si>
  <si>
    <t>Respuestas Individuales — Encuesta Exploratoria de Huéspedes</t>
  </si>
  <si>
    <t>Base de 50 respuestas simuladas para practicar el cálculo de NPS, CSAT y CES (caso ficticio, Hotel Costa Azul)</t>
  </si>
  <si>
    <t>⚠ Estas 50 respuestas son datos de prueba (ficticios), generados para completar el ejercicio. Reemplazar por datos reales cuando existan; el resto del archivo (pestañas 'Reseñas y Encuesta' e 'Indicadores') se recalcula solo.</t>
  </si>
  <si>
    <t>ID</t>
  </si>
  <si>
    <t>Fecha</t>
  </si>
  <si>
    <t>Canal</t>
  </si>
  <si>
    <t>NPS (0-10)</t>
  </si>
  <si>
    <t>Clasificación NPS</t>
  </si>
  <si>
    <t>CSAT (1-5)</t>
  </si>
  <si>
    <t>CES (1-5)</t>
  </si>
  <si>
    <t>Aspecto más valorado</t>
  </si>
  <si>
    <t>Categoría asociada (hallazgo)</t>
  </si>
  <si>
    <t>R001</t>
  </si>
  <si>
    <t>Formulario en el hotel</t>
  </si>
  <si>
    <t>Limpieza y mantenimiento de la habitación</t>
  </si>
  <si>
    <t>Nos sentimos como en familia.</t>
  </si>
  <si>
    <t>R002</t>
  </si>
  <si>
    <t>WhatsApp</t>
  </si>
  <si>
    <t>Desayuno / servicios</t>
  </si>
  <si>
    <t>Pregunté por Instagram y no tuve respuesta.</t>
  </si>
  <si>
    <t>R003</t>
  </si>
  <si>
    <t>Trato del personal / dueños</t>
  </si>
  <si>
    <t>Había mucha gente llegando junta y pocos empleados.</t>
  </si>
  <si>
    <t>R004</t>
  </si>
  <si>
    <t>Relación precio-valor</t>
  </si>
  <si>
    <t>El precio de temporada alta es alto para lo que ofrece.</t>
  </si>
  <si>
    <t>R005</t>
  </si>
  <si>
    <t>Sin comentario asociado</t>
  </si>
  <si>
    <t>-</t>
  </si>
  <si>
    <t>R006</t>
  </si>
  <si>
    <t>El trato de los dueños es único, se acuerdan de nosotros cada año.</t>
  </si>
  <si>
    <t>R007</t>
  </si>
  <si>
    <t>Otro</t>
  </si>
  <si>
    <t>R008</t>
  </si>
  <si>
    <t>La atención personalizada hace toda la diferencia.</t>
  </si>
  <si>
    <t>R009</t>
  </si>
  <si>
    <t>Encontramos algunos detalles de limpieza para mejorar.</t>
  </si>
  <si>
    <t>R010</t>
  </si>
  <si>
    <t>R011</t>
  </si>
  <si>
    <t>Ninguna observación puntual.</t>
  </si>
  <si>
    <t>R012</t>
  </si>
  <si>
    <t>R013</t>
  </si>
  <si>
    <t>R014</t>
  </si>
  <si>
    <t>El check-in tardó bastante al llegar.</t>
  </si>
  <si>
    <t>R015</t>
  </si>
  <si>
    <t>Ubicación del hotel</t>
  </si>
  <si>
    <t>El wifi era muy débil en la habitación.</t>
  </si>
  <si>
    <t>R016</t>
  </si>
  <si>
    <t>El desayuno podría ser mejor para el precio que se paga.</t>
  </si>
  <si>
    <t>R017</t>
  </si>
  <si>
    <t>R018</t>
  </si>
  <si>
    <t>R019</t>
  </si>
  <si>
    <t>R020</t>
  </si>
  <si>
    <t>Consulté por WhatsApp y tardaron en responder.</t>
  </si>
  <si>
    <t>R021</t>
  </si>
  <si>
    <t>R022</t>
  </si>
  <si>
    <t>R023</t>
  </si>
  <si>
    <t>R024</t>
  </si>
  <si>
    <t>R025</t>
  </si>
  <si>
    <t>Todo bien, sin comentarios.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</si>
  <si>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</si>
  <si>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</si>
  <si>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</si>
  <si>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</si>
  <si>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</si>
  <si>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</si>
  <si>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</si>
  <si>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</si>
  <si>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</si>
  <si>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</si>
  <si>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</si>
  <si>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</si>
  <si>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</si>
  <si>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</si>
  <si>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</si>
  <si>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</si>
  <si>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</si>
  <si>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</si>
  <si>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</si>
  <si>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</si>
  <si>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</si>
  <si>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</si>
  <si>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</si>
  <si>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</si>
  <si>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</si>
  <si>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Indicadores de Experiencia del Huésped</t>
  </si>
  <si>
    <t>Parte se calcula automáticamente desde 'Reseñas y Encuesta'; NPS/CSAT desde 'Respuestas Encuesta'</t>
  </si>
  <si>
    <t>⚠ El NPS y el CSAT se calculan automáticamente a partir de las 50 respuestas (datos de prueba/ficticios) de la pestaña 'Respuestas Encuesta'. Reemplazá esa base cuando tengas los datos reales.</t>
  </si>
  <si>
    <t>1. Indicadores calculados a partir de reseñas (Google Maps + Booking.com)</t>
  </si>
  <si>
    <t>Indicador</t>
  </si>
  <si>
    <t>Resultado</t>
  </si>
  <si>
    <t>¿Qué mide?</t>
  </si>
  <si>
    <t>Cómo interpretar el resultado obtenido</t>
  </si>
  <si>
    <t>Cantidad de reseñas relevadas</t>
  </si>
  <si>
    <t>Cantidad total de reseñas de Google Maps y Booking.com registradas en la pestaña 'Reseñas y Encuesta'.</t>
  </si>
  <si>
    <t>—</t>
  </si>
  <si>
    <t>Calificación promedio (solo reseñas con estrellas)</t>
  </si>
  <si>
    <t>Promedio de estrellas (escala 1 a 5) de las reseñas que incluyen calificación numérica.</t>
  </si>
  <si>
    <t>% Reseñas positivas</t>
  </si>
  <si>
    <t>Proporción de reseñas cuyo tono general fue clasificado como positivo en 'Reseñas y Encuesta'.</t>
  </si>
  <si>
    <t>% Reseñas negativas</t>
  </si>
  <si>
    <t>Proporción de reseñas cuyo tono general fue clasificado como negativo en 'Reseñas y Encuesta'.</t>
  </si>
  <si>
    <t>% Reseñas mixtas</t>
  </si>
  <si>
    <t>Proporción de reseñas que combinan aspectos positivos y negativos en el mismo comentario.</t>
  </si>
  <si>
    <t>Menciones por categoría — reseñas + encuesta (50 respuestas)</t>
  </si>
  <si>
    <t>Categoría</t>
  </si>
  <si>
    <t>Menciones en reseñas</t>
  </si>
  <si>
    <t>Menciones en encuesta</t>
  </si>
  <si>
    <t>Total combinado</t>
  </si>
  <si>
    <t>% del total combinado</t>
  </si>
  <si>
    <t>¿Qué implica este hallazgo?</t>
  </si>
  <si>
    <t>La calidez y personalización del trato de los dueños genera fidelidad fuerte y visitas recurrentes año tras año.</t>
  </si>
  <si>
    <t>En temporada alta, el check-in y la disponibilidad de la habitación generan demoras y frustración.</t>
  </si>
  <si>
    <t>Existen fallas de mantenimiento (aire acondicionado, wifi) sin resolución rápida durante la estadía.</t>
  </si>
  <si>
    <t>Las consultas de reserva por WhatsApp/Instagram no siempre reciben respuesta rápida.</t>
  </si>
  <si>
    <t>Parte de los huéspedes percibe que el precio de temporada alta no se corresponde con la calidad/servicios ofrecidos.</t>
  </si>
  <si>
    <t>2. NPS (Net Promoter Score) — calculado desde 'Respuestas Encuesta' (n=50)</t>
  </si>
  <si>
    <t>¿Qué mide? La disposición a recomendar Hotel Costa Azul: resulta de restar el % de detractores al % de promotores (rango de -100% a 100%), a partir de la pregunta '¿qué probabilidad hay de que nos recomiendes?' (escala 0 a 10).</t>
  </si>
  <si>
    <t>Concepto</t>
  </si>
  <si>
    <t>Cantidad de respuestas</t>
  </si>
  <si>
    <t>% sobre el total</t>
  </si>
  <si>
    <t>¿Qué significa este grupo?</t>
  </si>
  <si>
    <t>Promotores (calificación 9-10)</t>
  </si>
  <si>
    <t>Huéspedes entusiastas y leales: probablemente recomienden el hotel de forma espontánea y vuelvan la próxima temporada.</t>
  </si>
  <si>
    <t>Pasivos (calificación 7-8)</t>
  </si>
  <si>
    <t>Huéspedes conformes pero poco entusiastas: vulnerables a probar otros hoteles de la zona.</t>
  </si>
  <si>
    <t>Detractores (calificación 0-6)</t>
  </si>
  <si>
    <t>Huéspedes insatisfechos: pueden dañar la reputación del hotel con comentarios negativos.</t>
  </si>
  <si>
    <t>Total de respuestas</t>
  </si>
  <si>
    <t>Tamaño de la muestra (n) sobre la que se calculan los porcentajes de arriba: cuanto mayor sea, más confiable es el resultado.</t>
  </si>
  <si>
    <t>NPS = % Promotores − % Detractores</t>
  </si>
  <si>
    <t>3. CSAT (Satisfacción, escala 1-5) — calculado desde 'Respuestas Encuesta' (n=50)</t>
  </si>
  <si>
    <t>¿Qué mide? El % de encuestados satisfechos: quienes calificaron su estadía con 4 o 5 sobre 5. El benchmark habitual en hotelería ronda el 80%.</t>
  </si>
  <si>
    <t>Calificación</t>
  </si>
  <si>
    <t>CSAT (% calificaciones 4 y 5)</t>
  </si>
  <si>
    <t>Customer Journey Map (As Is) — Familia Huésped de Hotel Costa Azul</t>
  </si>
  <si>
    <t>Estado actual del recorrido, con detalle por subetapa | Hotel Costa Azul (caso ficticio) | familias en temporada alta</t>
  </si>
  <si>
    <t>Etapa</t>
  </si>
  <si>
    <t>1. Descubrimiento y reserva</t>
  </si>
  <si>
    <t>2. Llegada y check-in</t>
  </si>
  <si>
    <t>3. Estadía</t>
  </si>
  <si>
    <t>4. Check-out y salida</t>
  </si>
  <si>
    <t>5. Postestadía y fidelización</t>
  </si>
  <si>
    <t>Subetapa</t>
  </si>
  <si>
    <t>a) Búsqueda y comparación
(Booking, Google)</t>
  </si>
  <si>
    <t>b) Reserva y consultas
previas</t>
  </si>
  <si>
    <t>a) Llegada
y check-in</t>
  </si>
  <si>
    <t>b) Primeras impresiones /
acompañamiento</t>
  </si>
  <si>
    <t>a) Habitación
(limpieza, mantenimiento)</t>
  </si>
  <si>
    <t>b) Servicios del hotel
(desayuno, pileta/playa)</t>
  </si>
  <si>
    <t>a) Check-out</t>
  </si>
  <si>
    <t>b) Salida / despedida</t>
  </si>
  <si>
    <t>a) Interacción
post-estadía (reseñas)</t>
  </si>
  <si>
    <t>b) Fidelización
/ recompra</t>
  </si>
  <si>
    <t>Descripción de la etapa</t>
  </si>
  <si>
    <t>Momento en que el huésped potencial descubre el hotel y realiza la reserva, comparando opciones y consultando disponibilidad.</t>
  </si>
  <si>
    <t>El huésped llega al hotel, realiza el check-in y recibe las primeras impresiones del lugar y del trato del personal.</t>
  </si>
  <si>
    <t>El huésped se aloja en la habitación y utiliza los servicios del hotel (desayuno, pileta, playa) durante su estadía.</t>
  </si>
  <si>
    <t>El huésped realiza el check-out y se retira del hotel.</t>
  </si>
  <si>
    <t>Después de la estadía, el huésped interactúa con la marca en redes, deja reseñas y decide si vuelve en temporadas futuras.</t>
  </si>
  <si>
    <t>Touchpoints</t>
  </si>
  <si>
    <t>Booking.com, Google Maps, recomendaciones de otras familias</t>
  </si>
  <si>
    <t>WhatsApp, Instagram, mensajería de Booking.com</t>
  </si>
  <si>
    <t>Recepción, mostrador de check-in</t>
  </si>
  <si>
    <t>Personal de recepción/conserjería, pasillos, habitación</t>
  </si>
  <si>
    <t>Habitación (aire acondicionado, wifi, limpieza)</t>
  </si>
  <si>
    <t>Comedor/desayuno, pileta, personal de atención</t>
  </si>
  <si>
    <t>Recepción, mostrador de check-out</t>
  </si>
  <si>
    <t>Personal de recepción, dueños del hotel</t>
  </si>
  <si>
    <t>Google Maps, Booking.com, Instagram</t>
  </si>
  <si>
    <t>Rutina de vacaciones anuales, recomendación boca a boca</t>
  </si>
  <si>
    <t>Acciones del huésped</t>
  </si>
  <si>
    <t>Compara precios, fotos y reseñas de distintos hoteles antes de decidir</t>
  </si>
  <si>
    <t>Consulta disponibilidad, tarifas y servicios (cochera, desayuno) antes de reservar</t>
  </si>
  <si>
    <t>Llega con la familia y el equipaje, espera para hacer el check-in</t>
  </si>
  <si>
    <t>Es acompañada a la habitación y recibe información básica del hotel</t>
  </si>
  <si>
    <t>Se instala y usa la habitación durante la estadía</t>
  </si>
  <si>
    <t>Desayuna, usa la pileta o va a la playa, interactúa con el personal</t>
  </si>
  <si>
    <t>Realiza el check-out y paga el saldo si corresponde</t>
  </si>
  <si>
    <t>Se despide; a veces recibe un trato personalizado de los dueños</t>
  </si>
  <si>
    <t>Deja una reseña o comenta en redes sobre su experiencia</t>
  </si>
  <si>
    <t>Vuelve la temporada siguiente y recomienda el hotel a otras familias</t>
  </si>
  <si>
    <t>Pensamientos y emociones</t>
  </si>
  <si>
    <t>Expectativa mezclada con cautela; busca señales de confianza (reseñas, fotos reales)</t>
  </si>
  <si>
    <t>Necesita confirmar detalles antes de comprometerse con la reserva</t>
  </si>
  <si>
    <t>Ansiedad por "ya estar" en la habitación, sobre todo con chicos cansados del viaje</t>
  </si>
  <si>
    <t>Forma la primera impresión general del hotel en estos minutos</t>
  </si>
  <si>
    <t>Confort y tranquilidad si todo funciona bien; frustración si hay fallas</t>
  </si>
  <si>
    <t>Valora la calidez del trato, aunque compare mentalmente el desayuno con el precio pagado</t>
  </si>
  <si>
    <t>Evalúa mentalmente si la estadía valió el precio pagado</t>
  </si>
  <si>
    <t>Sensación de cierre cálido si los dueños se acercan a despedirse</t>
  </si>
  <si>
    <t>Ganas de compartir una buena experiencia, o de señalar lo que no funcionó</t>
  </si>
  <si>
    <t>Sensación de pertenencia: "es como visitar a la familia, no un hotel más"</t>
  </si>
  <si>
    <t>Puntos de dolor</t>
  </si>
  <si>
    <t>El precio de temporada alta puede generar dudas antes incluso de reservar</t>
  </si>
  <si>
    <t>Demoras de días en responder consultas por WhatsApp/Instagram</t>
  </si>
  <si>
    <t>Check-in demorado por poco personal en recepción en temporada alta</t>
  </si>
  <si>
    <t>Habitación no lista a la hora comprometida, sin aviso previo</t>
  </si>
  <si>
    <t>Problemas de mantenimiento (aire acondicionado, wifi) sin resolución rápida</t>
  </si>
  <si>
    <t>Desayuno percibido como básico en relación al precio de temporada alta</t>
  </si>
  <si>
    <t>Mismo riesgo de demora que en el check-in si hay varios check-outs simultáneos</t>
  </si>
  <si>
    <t>Inconsistencia si el trato personalizado depende de qué dueño/empleado está de turno</t>
  </si>
  <si>
    <t>Sin protocolo de respuesta a reseñas, se pierde la oportunidad de mostrar mejora ante comentarios negativos</t>
  </si>
  <si>
    <t>Esa lealtad depende mucho del vínculo con los dueños actuales; un cambio de gestión podría debilitarla</t>
  </si>
  <si>
    <t>Oportunidades</t>
  </si>
  <si>
    <t>Responder públicamente a reseñas sobre precio-valor, explicando qué incluye la tarifa</t>
  </si>
  <si>
    <t>Definir un tiempo de respuesta máximo para consultas de reserva</t>
  </si>
  <si>
    <t>Reforzar la dotación de recepción en los horarios de mayor llegada de temporada alta</t>
  </si>
  <si>
    <t>Avisar proactivamente si la habitación va a demorar, y ofrecer una alternativa (guardar equipaje, área de espera)</t>
  </si>
  <si>
    <t>Checklist de mantenimiento preventivo entre estadías + protocolo de resolución rápida de reclamos técnicos</t>
  </si>
  <si>
    <t>Revisar la propuesta de desayuno o comunicar claramente qué incluye la tarifa</t>
  </si>
  <si>
    <t>Ofrecer check-out anticipado/exprés para quienes salen temprano</t>
  </si>
  <si>
    <t>Sistematizar un gesto de despedida (los dueños se acercan siempre a saludar antes de la salida)</t>
  </si>
  <si>
    <t>Responder todas las reseñas (positivas y negativas) con un mensaje personalizado de los dueños</t>
  </si>
  <si>
    <t>Documentar y transmitir la cultura de trato cálido al personal nuevo, para que no dependa de una sola persona</t>
  </si>
  <si>
    <t>Evidencia / Fuente</t>
  </si>
  <si>
    <t>Reseñas sobre precio caro para lo que ofrece (Hallazgo 5)</t>
  </si>
  <si>
    <t>Consulta sobre cochera sin respuesta por 2 días; comentarios de Instagram sin respuesta (Hallazgo 4)</t>
  </si>
  <si>
    <t>Reseña sobre check-in demorado con varios huéspedes llegando juntos (Hallazgo 2)</t>
  </si>
  <si>
    <t>Reseña sobre habitación no lista hasta las 15h sin aviso (Hallazgo 2)</t>
  </si>
  <si>
    <t>Reseñas sobre aire acondicionado y wifi (Hallazgo 3)</t>
  </si>
  <si>
    <t>Reseña sobre desayuno básico para el precio de temporada alta (Hallazgo 5)</t>
  </si>
  <si>
    <t>Perfil de temporada alta con salidas concentradas en la mañana</t>
  </si>
  <si>
    <t>Reseñas que destacan el trato de los dueños como diferencial (Hallazgo 1)</t>
  </si>
  <si>
    <t>Reseñas variadas en Google Maps/Booking (Hallazgos 2, 3 y 5)</t>
  </si>
  <si>
    <t>Cita "es como visitar a la familia" (Hallazgo 1)</t>
  </si>
  <si>
    <t>Customer Journey Map (To Be) — Familia Huésped de Hotel Costa Azul</t>
  </si>
  <si>
    <t>Estado deseado del recorrido, con detalle por subetapa | Hotel Costa Azul (caso ficticio) | familias en temporada alta</t>
  </si>
  <si>
    <t>El huésped potencial encuentra información clara sobre precios y servicios, y recibe respuestas rápidas a sus consultas antes de reservar.</t>
  </si>
  <si>
    <t>La llegada y el check-in se resuelven con rapidez, incluso en temporada alta, con comunicación proactiva si hay demoras.</t>
  </si>
  <si>
    <t>La estadía se disfruta sin sobresaltos: habitación en buen estado y servicios que se corresponden con lo prometido.</t>
  </si>
  <si>
    <t>El check-out es rápido y el huésped se retira con una despedida cálida y consistente.</t>
  </si>
  <si>
    <t>El vínculo con el hotel se sostiene más allá de los dueños actuales, gracias a una cultura de trato cálido transmitida a todo el personal.</t>
  </si>
  <si>
    <t>Touchpoints (mejorados)</t>
  </si>
  <si>
    <t>Perfil de Booking/Google con fotos actualizadas y respuestas públicas a reseñas de precio</t>
  </si>
  <si>
    <t>WhatsApp Business con tiempo de respuesta definido</t>
  </si>
  <si>
    <t>Recepción con personal reforzado en horarios de mayor llegada</t>
  </si>
  <si>
    <t>Recepción con aviso proactivo si la habitación se demora</t>
  </si>
  <si>
    <t>Habitación con mantenimiento preventivo entre estadías</t>
  </si>
  <si>
    <t>Comedor con propuesta de desayuno revisada y comunicada</t>
  </si>
  <si>
    <t>Check-out anticipado/exprés para salidas tempranas</t>
  </si>
  <si>
    <t>Recepción con protocolo de despedida de los dueños</t>
  </si>
  <si>
    <t>Respuesta personalizada a cada reseña (Google/Booking)</t>
  </si>
  <si>
    <t>Cultura de trato cálido transmitida a todo el personal, comunicación de novedades</t>
  </si>
  <si>
    <t>Encuentra información clara sobre qué incluye la tarifa antes de reservar</t>
  </si>
  <si>
    <t>Recibe respuesta a sus consultas (cochera, servicios) en pocas horas</t>
  </si>
  <si>
    <t>Hace el check-in rápido, incluso con varias familias llegando juntas</t>
  </si>
  <si>
    <t>Es avisada con anticipación si hay demora y recibe una alternativa mientras espera</t>
  </si>
  <si>
    <t>Usa la habitación sin sobresaltos técnicos (aire acondicionado, wifi funcionando)</t>
  </si>
  <si>
    <t>Desayuna sintiendo que el servicio se corresponde con la tarifa pagada</t>
  </si>
  <si>
    <t>Hace un check-out rápido, sin esperas innecesarias</t>
  </si>
  <si>
    <t>Se va con una despedida cálida y consistente, con o sin los dueños presentes</t>
  </si>
  <si>
    <t>Recibe una respuesta genuina a su reseña, sea positiva o negativa</t>
  </si>
  <si>
    <t>Vuelve la temporada siguiente y recomienda el hotel, más allá de quién lo atienda</t>
  </si>
  <si>
    <t>Pensamientos y emociones (esperados)</t>
  </si>
  <si>
    <t>Confianza en que el precio se corresponde con el servicio</t>
  </si>
  <si>
    <t>Tranquilidad para reservar con confianza</t>
  </si>
  <si>
    <t>Alivio de "ya estar" sin esperar de más con los chicos cansados</t>
  </si>
  <si>
    <t>Sensación de ser tenida en cuenta, aunque haya un imprevisto</t>
  </si>
  <si>
    <t>Confort y tranquilidad durante toda la estadía</t>
  </si>
  <si>
    <t>Percepción de valor sostenida durante la estadía</t>
  </si>
  <si>
    <t>Cierre práctico y sin fricciones antes de viajar de vuelta</t>
  </si>
  <si>
    <t>Sensación de cierre cálido, sostenida más allá de quién esté en el turno</t>
  </si>
  <si>
    <t>Sensación de ser escuchado, incluso cuando algo salió mal</t>
  </si>
  <si>
    <t>Lealtad al hotel como marca/familia, no solo a los dueños actuales</t>
  </si>
  <si>
    <t>Mejora implementada</t>
  </si>
  <si>
    <t>Respuesta pública a reseñas sobre precio-valor, explicando qué incluye la tarifa</t>
  </si>
  <si>
    <t>SLA de respuesta a consultas de reserva (WhatsApp/Instagram) de 24 horas o menos</t>
  </si>
  <si>
    <t>Refuerzo de personal de recepción en los horarios pico de check-in de temporada alta</t>
  </si>
  <si>
    <t>Protocolo de aviso proactivo + alternativa (guardar equipaje, área de espera) ante demoras</t>
  </si>
  <si>
    <t>Revisión de la propuesta de desayuno y comunicación clara de qué incluye la tarifa</t>
  </si>
  <si>
    <t>Opción de check-out anticipado/exprés para quienes salen temprano</t>
  </si>
  <si>
    <t>Sistematizar un gesto de despedida (mensaje o saludo) que no dependa de que los dueños estén presentes</t>
  </si>
  <si>
    <t>Protocolo de respuesta a todas las reseñas, con mensaje personalizado de los dueños</t>
  </si>
  <si>
    <t>Documentar y capacitar al personal nuevo en la cultura de trato cálido del hotel</t>
  </si>
  <si>
    <t>Resultado esperado / KPI</t>
  </si>
  <si>
    <t>% de reseñas de precio respondidas públicamente</t>
  </si>
  <si>
    <t>Tiempo de respuesta promedio a consultas de reserva</t>
  </si>
  <si>
    <t>Tiempo promedio de check-in en temporada alta</t>
  </si>
  <si>
    <t>% de habitaciones listas a la hora comprometida</t>
  </si>
  <si>
    <t>Tiempo de resolución de reclamos de mantenimiento (objetivo: mismo día)</t>
  </si>
  <si>
    <t>% de huéspedes que perciben el desayuno como "acorde al precio" (encuesta)</t>
  </si>
  <si>
    <t>Tiempo promedio de check-out en temporada alta</t>
  </si>
  <si>
    <t>Consistencia del trato percibida en la despedida (encuesta)</t>
  </si>
  <si>
    <t>% de reseñas respondidas dentro de las 48 horas</t>
  </si>
  <si>
    <t>% de huéspedes recurrentes que repiten temporada · NPS histórico</t>
  </si>
  <si>
    <t>Vinculación con hallazgo (As Is)</t>
  </si>
  <si>
    <t>Refuerza el Hallazgo 5 (percepción de precio-valor)</t>
  </si>
  <si>
    <t>Resuelve el Hallazgo 4 (consultas y reservas digitales)</t>
  </si>
  <si>
    <t>Resuelve el Hallazgo 2 (demoras en check-in)</t>
  </si>
  <si>
    <t>Resuelve el Hallazgo 3 (fallas de mantenimiento)</t>
  </si>
  <si>
    <t>Resuelve el Hallazgo 5 (percepción de precio-valor)</t>
  </si>
  <si>
    <t>Complementa la mejora del Hallazgo 2 (demoras en check-in)</t>
  </si>
  <si>
    <t>Refuerza el Hallazgo 1 (calidez y trato del personal)</t>
  </si>
  <si>
    <t>Complementa los Hallazgos 2, 3 y 5</t>
  </si>
  <si>
    <t>Refuerza el Hallazgo 1 y da sostenibilidad a largo plazo</t>
  </si>
  <si>
    <t>Service Blueprint — Familia Huésped de Hotel Costa Azul</t>
  </si>
  <si>
    <t>Complementa el Customer Journey Map con la vista interna del servicio: frontstage, backstage y procesos de soporte | Hotel Costa Azul (caso ficticio)</t>
  </si>
  <si>
    <t>Evidencia física</t>
  </si>
  <si>
    <t>Perfil de Booking.com/Google Maps, fotos, reseñas</t>
  </si>
  <si>
    <t>Mensajes de WhatsApp/Instagram, confirmación de reserva</t>
  </si>
  <si>
    <t>Mostrador de recepción, formulario de check-in</t>
  </si>
  <si>
    <t>Pasillos, habitación, cartel de bienvenida</t>
  </si>
  <si>
    <t>Habitación, aire acondicionado, wifi, mobiliario</t>
  </si>
  <si>
    <t>Comedor, buffet de desayuno, pileta</t>
  </si>
  <si>
    <t>Mostrador de check-out, factura/ticket</t>
  </si>
  <si>
    <t>Puerta de salida, saludo de los dueños</t>
  </si>
  <si>
    <t>Reseña en Google Maps/Booking, publicación en Instagram</t>
  </si>
  <si>
    <t>Comunicación de novedades, contacto de temporada siguiente</t>
  </si>
  <si>
    <t>▬▬▬  LÍNEA DE INTERACCIÓN  ▬▬▬</t>
  </si>
  <si>
    <t>Frontstage
(personal de contacto directo)</t>
  </si>
  <si>
    <t>Sin interacción humana directa en este momento</t>
  </si>
  <si>
    <t>Dueño/recepción responde consultas de disponibilidad y servicios</t>
  </si>
  <si>
    <t>Recepcionista/dueño realiza el check-in</t>
  </si>
  <si>
    <t>Personal acompaña al huésped a la habitación</t>
  </si>
  <si>
    <t>Mantenimiento atiende reclamos técnicos si el huésped los reporta</t>
  </si>
  <si>
    <t>Personal de comedor/pileta atiende al huésped</t>
  </si>
  <si>
    <t>Recepcionista/dueño realiza el check-out y cobra el saldo</t>
  </si>
  <si>
    <t>Dueños o personal se despiden del huésped</t>
  </si>
  <si>
    <t>Dueños responden las reseñas y comentarios</t>
  </si>
  <si>
    <t>Dueños/personal recuerdan a huéspedes recurrentes y los contactan para la temporada siguiente</t>
  </si>
  <si>
    <t>▬▬▬  LÍNEA DE VISIBILIDAD  ▬▬▬</t>
  </si>
  <si>
    <t>Backstage
(personal sin contacto directo)</t>
  </si>
  <si>
    <t>Actualización de fotos/tarifas en Booking/Google; respuesta a reseñas de precio</t>
  </si>
  <si>
    <t>Gestión del calendario de disponibilidad y tarifas</t>
  </si>
  <si>
    <t>Verificación de disponibilidad y asignación de habitaciones</t>
  </si>
  <si>
    <t>Coordinación con mucamas sobre el estado de las habitaciones</t>
  </si>
  <si>
    <t>Mantenimiento preventivo entre estadías, gestión de reclamos técnicos</t>
  </si>
  <si>
    <t>Compras y preparación del desayuno, mantenimiento de la pileta</t>
  </si>
  <si>
    <t>Conciliación de cuenta, actualización de disponibilidad de la habitación</t>
  </si>
  <si>
    <t>Sin actividad backstage relevante en este momento</t>
  </si>
  <si>
    <t>Gestión de reputación online, seguimiento de reclamos pendientes</t>
  </si>
  <si>
    <t>Gestión de una base de huéspedes recurrentes, capacitación de personal nuevo en la cultura del hotel</t>
  </si>
  <si>
    <t>▬▬▬  LÍNEA DE INTERACCIÓN INTERNA  ▬▬▬</t>
  </si>
  <si>
    <t>Procesos de soporte
(sistemas y proveedores)</t>
  </si>
  <si>
    <t>Booking.com, Google Business Profile</t>
  </si>
  <si>
    <t>WhatsApp Business, sistema de reservas/calendario</t>
  </si>
  <si>
    <t>Sistema de gestión hotelera (PMS), planilla de check-in/check-out</t>
  </si>
  <si>
    <t>Planilla de estado de habitaciones (limpia/lista/en preparación)</t>
  </si>
  <si>
    <t>Checklist de mantenimiento, proveedor de servicio técnico</t>
  </si>
  <si>
    <t>Proveedores de insumos de desayuno, servicio de mantenimiento de pileta</t>
  </si>
  <si>
    <t>Sistema de gestión hotelera (PMS)</t>
  </si>
  <si>
    <t>Google Business Profile, Booking.com Extranet</t>
  </si>
  <si>
    <t>Base de datos de huéspedes (CRM básico), material de capacitación interno</t>
  </si>
  <si>
    <t>Punto de fallo potencial (riesgo)</t>
  </si>
  <si>
    <t>Reseñas de precio sin respuesta erosionan la confianza antes de reservar (Hallazgo 5)</t>
  </si>
  <si>
    <t>Demoras de días en responder consultas de reserva (Hallazgo 4)</t>
  </si>
  <si>
    <t>Check-in demorado por poco personal en temporada alta (Hallazgo 2)</t>
  </si>
  <si>
    <t>Habitación no lista a la hora comprometida, sin aviso previo (Hallazgo 2)</t>
  </si>
  <si>
    <t>Fallas de mantenimiento sin resolución rápida (Hallazgo 3)</t>
  </si>
  <si>
    <t>Desayuno percibido como básico para el precio de temporada alta (Hallazgo 5)</t>
  </si>
  <si>
    <t>Demoras si hay varios check-outs simultáneos en temporada alta</t>
  </si>
  <si>
    <t>El trato personalizado depende de qué dueño/empleado está de turno (Hallazgo 1)</t>
  </si>
  <si>
    <t>Sin protocolo de respuesta, se pierde la oportunidad de mostrar mejora ante reseñas negativas</t>
  </si>
  <si>
    <t>La lealtad depende mucho del vínculo con los dueños actuales; un cambio de gestión podría debilitarla (Hallazgo 1)</t>
  </si>
  <si>
    <t>Referencias: por encima de la línea de interacción, lo que el huésped hace y ve (front stage). Entre la línea de visibilidad y la de interacción interna, lo que hace el personal sin contacto directo (back stage). Debajo, los sistemas y proveedores que sostienen el servicio.</t>
  </si>
  <si>
    <t>Síntesis de Hallazgos, Insights y Priorización</t>
  </si>
  <si>
    <t>Hotel Costa Azul (caso ficticio) — misma metodología aplicada a Clínica Bermejo y Café Aurora</t>
  </si>
  <si>
    <t>Hallazgo</t>
  </si>
  <si>
    <t>Insight</t>
  </si>
  <si>
    <t>Etapa del CJM más afectada</t>
  </si>
  <si>
    <t>Impacto (Alto/Medio/Bajo)</t>
  </si>
  <si>
    <t>Prioridad sugerida</t>
  </si>
  <si>
    <t>El vínculo emocional con los dueños es el principal diferencial frente a hoteles de cadena, pero depende de personas puntuales.</t>
  </si>
  <si>
    <t>Salida / despedida</t>
  </si>
  <si>
    <t>Alto</t>
  </si>
  <si>
    <t>Media</t>
  </si>
  <si>
    <t>La capacidad operativa no siempre acompaña los picos de demanda estacional, afectando la primera impresión.</t>
  </si>
  <si>
    <t>Llegada y check-in</t>
  </si>
  <si>
    <t>Alta</t>
  </si>
  <si>
    <t>La falta de mantenimiento preventivo entre estadías genera fricciones evitables que afectan la percepción de calidad.</t>
  </si>
  <si>
    <t>Estadía</t>
  </si>
  <si>
    <t>La demora en la respuesta digital puede hacer perder reservas frente a opciones más ágiles.</t>
  </si>
  <si>
    <t>Descubrimiento y reserva</t>
  </si>
  <si>
    <t>Parte de los huéspedes percibe que el precio de temporada alta no se corresponde con la calidad/servicios ofrecidos (ej. desayuno).</t>
  </si>
  <si>
    <t>La percepción de precio-valor es sensible en temporada alta y puede afectar la recomendación y el retorno.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</si>
</sst>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0.0%"/>
    <numFmt numFmtId="167" formatCode="0%;\-0%;&quot;Cargar datos&quot;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7F7F7F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i/>
      <sz val="13"/>
      <color rgb="FF1F3864"/>
      <name val="Arial"/>
      <charset val="1"/>
    </font>
    <font>
      <b/>
      <i/>
      <sz val="9"/>
      <color rgb="FFBF8F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i/>
      <sz val="10"/>
      <color rgb="FF1F3864"/>
      <name val="Arial"/>
      <charset val="1"/>
    </font>
    <font>
      <b/>
      <i/>
      <sz val="9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CE6F1"/>
      </patternFill>
    </fill>
    <fill>
      <patternFill patternType="solid">
        <fgColor rgb="FFF8CBAD"/>
        <bgColor rgb="FFFFF2CC"/>
      </patternFill>
    </fill>
    <fill>
      <patternFill patternType="solid">
        <fgColor rgb="FFF2F2F2"/>
        <bgColor rgb="FFEDF2FA"/>
      </patternFill>
    </fill>
    <fill>
      <patternFill patternType="solid">
        <fgColor rgb="FFDCE6F1"/>
        <bgColor rgb="FFEDF2FA"/>
      </patternFill>
    </fill>
    <fill>
      <patternFill patternType="solid">
        <fgColor rgb="FFFFF2CC"/>
        <bgColor rgb="FFF2F2F2"/>
      </patternFill>
    </fill>
    <fill>
      <patternFill patternType="solid">
        <fgColor rgb="FF2E5395"/>
        <bgColor rgb="FF3D6DB0"/>
      </patternFill>
    </fill>
    <fill>
      <patternFill patternType="solid">
        <fgColor rgb="FF3D6DB0"/>
        <bgColor rgb="FF2E5395"/>
      </patternFill>
    </fill>
    <fill>
      <patternFill patternType="solid">
        <fgColor rgb="FF5A85BF"/>
        <bgColor rgb="FF3D6DB0"/>
      </patternFill>
    </fill>
    <fill>
      <patternFill patternType="solid">
        <fgColor rgb="FF7A9FCE"/>
        <bgColor rgb="FF9AB9DD"/>
      </patternFill>
    </fill>
    <fill>
      <patternFill patternType="solid">
        <fgColor rgb="FF9AB9DD"/>
        <bgColor rgb="FFBFBFBF"/>
      </patternFill>
    </fill>
    <fill>
      <patternFill patternType="solid">
        <fgColor rgb="FFC9A227"/>
        <bgColor rgb="FFBF8F00"/>
      </patternFill>
    </fill>
    <fill>
      <patternFill patternType="solid">
        <fgColor rgb="FFEDF2FA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6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6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167" fontId="3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5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008080"/>
      <rgbColor rgb="FFBFBFBF"/>
      <rgbColor rgb="FF7F7F7F"/>
      <rgbColor rgb="FF7A9FCE"/>
      <rgbColor rgb="FF993366"/>
      <rgbColor rgb="FFFFF2CC"/>
      <rgbColor rgb="FFED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0B4"/>
      <rgbColor rgb="FFF2F2F2"/>
      <rgbColor rgb="FF9AB9DD"/>
      <rgbColor rgb="FFFF99CC"/>
      <rgbColor rgb="FFCC99FF"/>
      <rgbColor rgb="FFF8CBAD"/>
      <rgbColor rgb="FF3366FF"/>
      <rgbColor rgb="FF33CCCC"/>
      <rgbColor rgb="FF99CC00"/>
      <rgbColor rgb="FFFFCC00"/>
      <rgbColor rgb="FFC9A227"/>
      <rgbColor rgb="FFFF6600"/>
      <rgbColor rgb="FF3D6DB0"/>
      <rgbColor rgb="FF5A85BF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opLeftCell="A9" zoomScaleNormal="100" workbookViewId="0">
      <selection activeCell="A20" sqref="A20:F22"/>
    </sheetView>
  </sheetViews>
  <sheetFormatPr baseColWidth="10" defaultColWidth="8.6640625" defaultRowHeight="14.4" x14ac:dyDescent="0.3"/>
  <cols>
    <col min="1" max="1" width="22" customWidth="1"/>
    <col min="2" max="3" width="46" customWidth="1"/>
    <col min="4" max="6" width="14" customWidth="1"/>
  </cols>
  <sheetData>
    <row r="1" spans="1:6" ht="25.5" customHeight="1" x14ac:dyDescent="0.3">
      <c r="A1" s="37" t="s">
        <v>0</v>
      </c>
      <c r="B1" s="37"/>
      <c r="C1" s="37"/>
      <c r="D1" s="37"/>
      <c r="E1" s="37"/>
      <c r="F1" s="37"/>
    </row>
    <row r="2" spans="1:6" ht="15.75" customHeight="1" x14ac:dyDescent="0.3">
      <c r="A2" s="38"/>
      <c r="B2" s="38"/>
      <c r="C2" s="38"/>
      <c r="D2" s="38"/>
      <c r="E2" s="38"/>
      <c r="F2" s="38"/>
    </row>
    <row r="4" spans="1:6" ht="15.6" x14ac:dyDescent="0.3">
      <c r="A4" s="4" t="s">
        <v>1</v>
      </c>
    </row>
    <row r="5" spans="1:6" x14ac:dyDescent="0.3">
      <c r="A5" s="1" t="s">
        <v>2</v>
      </c>
      <c r="B5" s="1" t="s">
        <v>3</v>
      </c>
      <c r="C5" s="1" t="s">
        <v>4</v>
      </c>
    </row>
    <row r="6" spans="1:6" ht="54.75" customHeight="1" x14ac:dyDescent="0.3">
      <c r="A6" s="2" t="s">
        <v>5</v>
      </c>
      <c r="B6" s="2" t="s">
        <v>6</v>
      </c>
      <c r="C6" s="2" t="s">
        <v>7</v>
      </c>
    </row>
    <row r="7" spans="1:6" ht="54.75" customHeight="1" x14ac:dyDescent="0.3">
      <c r="A7" s="2" t="s">
        <v>8</v>
      </c>
      <c r="B7" s="2" t="s">
        <v>9</v>
      </c>
      <c r="C7" s="2" t="s">
        <v>10</v>
      </c>
    </row>
    <row r="8" spans="1:6" ht="54.75" customHeight="1" x14ac:dyDescent="0.3">
      <c r="A8" s="2" t="s">
        <v>11</v>
      </c>
      <c r="B8" s="2" t="s">
        <v>12</v>
      </c>
      <c r="C8" s="2" t="s">
        <v>13</v>
      </c>
    </row>
    <row r="9" spans="1:6" ht="54.75" customHeight="1" x14ac:dyDescent="0.3">
      <c r="A9" s="2" t="s">
        <v>14</v>
      </c>
      <c r="B9" s="2" t="s">
        <v>15</v>
      </c>
      <c r="C9" s="2" t="s">
        <v>16</v>
      </c>
    </row>
    <row r="10" spans="1:6" ht="54.75" customHeight="1" x14ac:dyDescent="0.3">
      <c r="A10" s="2" t="s">
        <v>17</v>
      </c>
      <c r="B10" s="2" t="s">
        <v>18</v>
      </c>
      <c r="C10" s="2" t="s">
        <v>19</v>
      </c>
    </row>
    <row r="11" spans="1:6" ht="54.75" customHeight="1" x14ac:dyDescent="0.3">
      <c r="A11" s="2" t="s">
        <v>20</v>
      </c>
      <c r="B11" s="2" t="s">
        <v>21</v>
      </c>
      <c r="C11" s="2" t="s">
        <v>22</v>
      </c>
    </row>
    <row r="12" spans="1:6" ht="54.75" customHeight="1" x14ac:dyDescent="0.3">
      <c r="A12" s="2" t="s">
        <v>23</v>
      </c>
      <c r="B12" s="2" t="s">
        <v>24</v>
      </c>
      <c r="C12" s="2" t="s">
        <v>25</v>
      </c>
    </row>
    <row r="13" spans="1:6" ht="54.75" customHeight="1" x14ac:dyDescent="0.3">
      <c r="A13" s="2" t="s">
        <v>26</v>
      </c>
      <c r="B13" s="2" t="s">
        <v>27</v>
      </c>
      <c r="C13" s="2" t="s">
        <v>28</v>
      </c>
    </row>
    <row r="15" spans="1:6" x14ac:dyDescent="0.3">
      <c r="A15" s="5" t="s">
        <v>29</v>
      </c>
    </row>
    <row r="16" spans="1:6" x14ac:dyDescent="0.3">
      <c r="A16" s="6" t="s">
        <v>30</v>
      </c>
      <c r="B16" s="40" t="s">
        <v>31</v>
      </c>
      <c r="C16" s="40"/>
      <c r="D16" s="40"/>
      <c r="E16" s="40"/>
    </row>
    <row r="17" spans="1:6" x14ac:dyDescent="0.3">
      <c r="A17" s="7" t="s">
        <v>30</v>
      </c>
      <c r="B17" s="40" t="s">
        <v>32</v>
      </c>
      <c r="C17" s="40"/>
      <c r="D17" s="40"/>
      <c r="E17" s="40"/>
    </row>
    <row r="18" spans="1:6" x14ac:dyDescent="0.3">
      <c r="A18" s="8" t="s">
        <v>30</v>
      </c>
      <c r="B18" s="40" t="s">
        <v>33</v>
      </c>
      <c r="C18" s="40"/>
      <c r="D18" s="40"/>
      <c r="E18" s="40"/>
    </row>
    <row r="20" spans="1:6" ht="49.5" customHeight="1" x14ac:dyDescent="0.3">
      <c r="A20" s="39"/>
      <c r="B20" s="39"/>
      <c r="C20" s="39"/>
      <c r="D20" s="39"/>
      <c r="E20" s="39"/>
      <c r="F20" s="39"/>
    </row>
    <row r="21" spans="1:6" x14ac:dyDescent="0.3">
      <c r="A21" s="39"/>
      <c r="B21" s="39"/>
      <c r="C21" s="39"/>
      <c r="D21" s="39"/>
      <c r="E21" s="39"/>
      <c r="F21" s="39"/>
    </row>
    <row r="22" spans="1:6" x14ac:dyDescent="0.3">
      <c r="A22" s="39"/>
      <c r="B22" s="39"/>
      <c r="C22" s="39"/>
      <c r="D22" s="39"/>
      <c r="E22" s="39"/>
      <c r="F22" s="39"/>
    </row>
  </sheetData>
  <mergeCells count="6">
    <mergeCell ref="A20:F22"/>
    <mergeCell ref="A1:F1"/>
    <mergeCell ref="A2:F2"/>
    <mergeCell ref="B16:E16"/>
    <mergeCell ref="B17:E17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showGridLines="0" topLeftCell="A36" zoomScaleNormal="100" workbookViewId="0">
      <selection sqref="A1:F1"/>
    </sheetView>
  </sheetViews>
  <sheetFormatPr baseColWidth="10" defaultColWidth="8.6640625" defaultRowHeight="14.4" x14ac:dyDescent="0.3"/>
  <cols>
    <col min="1" max="1" width="39.21875" customWidth="1"/>
    <col min="2" max="6" width="22" customWidth="1"/>
  </cols>
  <sheetData>
    <row r="1" spans="1:6" ht="25.5" customHeight="1" x14ac:dyDescent="0.3">
      <c r="A1" s="37" t="s">
        <v>34</v>
      </c>
      <c r="B1" s="37"/>
      <c r="C1" s="37"/>
      <c r="D1" s="37"/>
      <c r="E1" s="37"/>
      <c r="F1" s="37"/>
    </row>
    <row r="2" spans="1:6" ht="15.75" customHeight="1" x14ac:dyDescent="0.3">
      <c r="A2" s="38" t="s">
        <v>35</v>
      </c>
      <c r="B2" s="38"/>
      <c r="C2" s="38"/>
      <c r="D2" s="38"/>
      <c r="E2" s="38"/>
      <c r="F2" s="38"/>
    </row>
    <row r="4" spans="1:6" ht="27.75" customHeight="1" x14ac:dyDescent="0.3">
      <c r="A4" s="43" t="s">
        <v>36</v>
      </c>
      <c r="B4" s="43"/>
      <c r="C4" s="43"/>
      <c r="D4" s="43"/>
      <c r="E4" s="43"/>
      <c r="F4" s="43"/>
    </row>
    <row r="6" spans="1:6" ht="21.75" customHeight="1" x14ac:dyDescent="0.3">
      <c r="A6" s="42" t="s">
        <v>37</v>
      </c>
      <c r="B6" s="42"/>
      <c r="C6" s="42"/>
      <c r="D6" s="42"/>
      <c r="E6" s="42"/>
      <c r="F6" s="42"/>
    </row>
    <row r="7" spans="1:6" ht="21.75" customHeight="1" x14ac:dyDescent="0.3">
      <c r="A7" s="9" t="s">
        <v>38</v>
      </c>
      <c r="B7" s="41" t="s">
        <v>39</v>
      </c>
      <c r="C7" s="41"/>
      <c r="D7" s="41"/>
      <c r="E7" s="41"/>
      <c r="F7" s="41"/>
    </row>
    <row r="8" spans="1:6" ht="21.75" customHeight="1" x14ac:dyDescent="0.3">
      <c r="A8" s="9" t="s">
        <v>40</v>
      </c>
      <c r="B8" s="41" t="s">
        <v>41</v>
      </c>
      <c r="C8" s="41"/>
      <c r="D8" s="41"/>
      <c r="E8" s="41"/>
      <c r="F8" s="41"/>
    </row>
    <row r="9" spans="1:6" ht="21.75" customHeight="1" x14ac:dyDescent="0.3">
      <c r="A9" s="9" t="s">
        <v>42</v>
      </c>
      <c r="B9" s="41" t="s">
        <v>43</v>
      </c>
      <c r="C9" s="41"/>
      <c r="D9" s="41"/>
      <c r="E9" s="41"/>
      <c r="F9" s="41"/>
    </row>
    <row r="10" spans="1:6" ht="21.75" customHeight="1" x14ac:dyDescent="0.3">
      <c r="A10" s="9" t="s">
        <v>44</v>
      </c>
      <c r="B10" s="41" t="s">
        <v>45</v>
      </c>
      <c r="C10" s="41"/>
      <c r="D10" s="41"/>
      <c r="E10" s="41"/>
      <c r="F10" s="41"/>
    </row>
    <row r="11" spans="1:6" ht="21.75" customHeight="1" x14ac:dyDescent="0.3">
      <c r="A11" s="9" t="s">
        <v>46</v>
      </c>
      <c r="B11" s="41" t="s">
        <v>47</v>
      </c>
      <c r="C11" s="41"/>
      <c r="D11" s="41"/>
      <c r="E11" s="41"/>
      <c r="F11" s="41"/>
    </row>
    <row r="12" spans="1:6" ht="21.75" customHeight="1" x14ac:dyDescent="0.3">
      <c r="A12" s="9" t="s">
        <v>48</v>
      </c>
      <c r="B12" s="41" t="s">
        <v>49</v>
      </c>
      <c r="C12" s="41"/>
      <c r="D12" s="41"/>
      <c r="E12" s="41"/>
      <c r="F12" s="41"/>
    </row>
    <row r="13" spans="1:6" ht="21.75" customHeight="1" x14ac:dyDescent="0.3">
      <c r="A13" s="9" t="s">
        <v>50</v>
      </c>
      <c r="B13" s="41" t="s">
        <v>51</v>
      </c>
      <c r="C13" s="41"/>
      <c r="D13" s="41"/>
      <c r="E13" s="41"/>
      <c r="F13" s="41"/>
    </row>
    <row r="14" spans="1:6" ht="21.75" customHeight="1" x14ac:dyDescent="0.3">
      <c r="A14" s="9" t="s">
        <v>52</v>
      </c>
      <c r="B14" s="41" t="s">
        <v>53</v>
      </c>
      <c r="C14" s="41"/>
      <c r="D14" s="41"/>
      <c r="E14" s="41"/>
      <c r="F14" s="41"/>
    </row>
    <row r="15" spans="1:6" ht="21.75" customHeight="1" x14ac:dyDescent="0.3">
      <c r="A15" s="9" t="s">
        <v>54</v>
      </c>
      <c r="B15" s="41" t="s">
        <v>55</v>
      </c>
      <c r="C15" s="41"/>
      <c r="D15" s="41"/>
      <c r="E15" s="41"/>
      <c r="F15" s="41"/>
    </row>
    <row r="17" spans="1:6" ht="45" customHeight="1" x14ac:dyDescent="0.3">
      <c r="A17" s="45" t="s">
        <v>56</v>
      </c>
      <c r="B17" s="45"/>
      <c r="C17" s="45"/>
      <c r="D17" s="45"/>
      <c r="E17" s="45"/>
      <c r="F17" s="45"/>
    </row>
    <row r="19" spans="1:6" ht="21.75" customHeight="1" x14ac:dyDescent="0.3">
      <c r="A19" s="42" t="s">
        <v>57</v>
      </c>
      <c r="B19" s="42"/>
      <c r="C19" s="42"/>
      <c r="D19" s="42"/>
      <c r="E19" s="42"/>
      <c r="F19" s="42"/>
    </row>
    <row r="20" spans="1:6" ht="79.5" customHeight="1" x14ac:dyDescent="0.3">
      <c r="A20" s="41" t="s">
        <v>58</v>
      </c>
      <c r="B20" s="41"/>
      <c r="C20" s="41"/>
      <c r="D20" s="41"/>
      <c r="E20" s="41"/>
      <c r="F20" s="41"/>
    </row>
    <row r="22" spans="1:6" ht="21.75" customHeight="1" x14ac:dyDescent="0.3">
      <c r="A22" s="42" t="s">
        <v>59</v>
      </c>
      <c r="B22" s="42"/>
      <c r="C22" s="42"/>
      <c r="D22" s="42"/>
      <c r="E22" s="42"/>
      <c r="F22" s="42"/>
    </row>
    <row r="23" spans="1:6" ht="19.5" customHeight="1" x14ac:dyDescent="0.3">
      <c r="A23" s="41" t="s">
        <v>60</v>
      </c>
      <c r="B23" s="41"/>
      <c r="C23" s="41"/>
      <c r="D23" s="41"/>
      <c r="E23" s="41"/>
      <c r="F23" s="41"/>
    </row>
    <row r="24" spans="1:6" ht="19.5" customHeight="1" x14ac:dyDescent="0.3">
      <c r="A24" s="41" t="s">
        <v>61</v>
      </c>
      <c r="B24" s="41"/>
      <c r="C24" s="41"/>
      <c r="D24" s="41"/>
      <c r="E24" s="41"/>
      <c r="F24" s="41"/>
    </row>
    <row r="25" spans="1:6" ht="19.5" customHeight="1" x14ac:dyDescent="0.3">
      <c r="A25" s="41" t="s">
        <v>62</v>
      </c>
      <c r="B25" s="41"/>
      <c r="C25" s="41"/>
      <c r="D25" s="41"/>
      <c r="E25" s="41"/>
      <c r="F25" s="41"/>
    </row>
    <row r="27" spans="1:6" ht="21.75" customHeight="1" x14ac:dyDescent="0.3">
      <c r="A27" s="42" t="s">
        <v>63</v>
      </c>
      <c r="B27" s="42"/>
      <c r="C27" s="42"/>
      <c r="D27" s="42"/>
      <c r="E27" s="42"/>
      <c r="F27" s="42"/>
    </row>
    <row r="28" spans="1:6" ht="15" customHeight="1" x14ac:dyDescent="0.3">
      <c r="A28" s="1" t="s">
        <v>64</v>
      </c>
      <c r="B28" s="44" t="s">
        <v>65</v>
      </c>
      <c r="C28" s="44"/>
      <c r="D28" s="44"/>
      <c r="E28" s="44"/>
      <c r="F28" s="44"/>
    </row>
    <row r="29" spans="1:6" ht="31.5" customHeight="1" x14ac:dyDescent="0.3">
      <c r="A29" s="2" t="s">
        <v>66</v>
      </c>
      <c r="B29" s="43" t="s">
        <v>67</v>
      </c>
      <c r="C29" s="43"/>
      <c r="D29" s="43"/>
      <c r="E29" s="43"/>
      <c r="F29" s="43"/>
    </row>
    <row r="30" spans="1:6" ht="31.5" customHeight="1" x14ac:dyDescent="0.3">
      <c r="A30" s="2" t="s">
        <v>68</v>
      </c>
      <c r="B30" s="43" t="s">
        <v>69</v>
      </c>
      <c r="C30" s="43"/>
      <c r="D30" s="43"/>
      <c r="E30" s="43"/>
      <c r="F30" s="43"/>
    </row>
    <row r="31" spans="1:6" ht="31.5" customHeight="1" x14ac:dyDescent="0.3">
      <c r="A31" s="2" t="s">
        <v>70</v>
      </c>
      <c r="B31" s="43" t="s">
        <v>71</v>
      </c>
      <c r="C31" s="43"/>
      <c r="D31" s="43"/>
      <c r="E31" s="43"/>
      <c r="F31" s="43"/>
    </row>
    <row r="32" spans="1:6" ht="31.5" customHeight="1" x14ac:dyDescent="0.3">
      <c r="A32" s="2" t="s">
        <v>72</v>
      </c>
      <c r="B32" s="43" t="s">
        <v>73</v>
      </c>
      <c r="C32" s="43"/>
      <c r="D32" s="43"/>
      <c r="E32" s="43"/>
      <c r="F32" s="43"/>
    </row>
    <row r="34" spans="1:6" ht="21.75" customHeight="1" x14ac:dyDescent="0.3">
      <c r="A34" s="42" t="s">
        <v>74</v>
      </c>
      <c r="B34" s="42"/>
      <c r="C34" s="42"/>
      <c r="D34" s="42"/>
      <c r="E34" s="42"/>
      <c r="F34" s="42"/>
    </row>
    <row r="35" spans="1:6" ht="19.5" customHeight="1" x14ac:dyDescent="0.3">
      <c r="A35" s="41" t="s">
        <v>75</v>
      </c>
      <c r="B35" s="41"/>
      <c r="C35" s="41"/>
      <c r="D35" s="41"/>
      <c r="E35" s="41"/>
      <c r="F35" s="41"/>
    </row>
    <row r="36" spans="1:6" ht="19.5" customHeight="1" x14ac:dyDescent="0.3">
      <c r="A36" s="41" t="s">
        <v>76</v>
      </c>
      <c r="B36" s="41"/>
      <c r="C36" s="41"/>
      <c r="D36" s="41"/>
      <c r="E36" s="41"/>
      <c r="F36" s="41"/>
    </row>
    <row r="37" spans="1:6" ht="19.5" customHeight="1" x14ac:dyDescent="0.3">
      <c r="A37" s="41" t="s">
        <v>77</v>
      </c>
      <c r="B37" s="41"/>
      <c r="C37" s="41"/>
      <c r="D37" s="41"/>
      <c r="E37" s="41"/>
      <c r="F37" s="41"/>
    </row>
    <row r="39" spans="1:6" ht="21.75" customHeight="1" x14ac:dyDescent="0.3">
      <c r="A39" s="42" t="s">
        <v>78</v>
      </c>
      <c r="B39" s="42"/>
      <c r="C39" s="42"/>
      <c r="D39" s="42"/>
      <c r="E39" s="42"/>
      <c r="F39" s="42"/>
    </row>
    <row r="40" spans="1:6" ht="31.5" customHeight="1" x14ac:dyDescent="0.3">
      <c r="A40" s="41" t="s">
        <v>79</v>
      </c>
      <c r="B40" s="41"/>
      <c r="C40" s="41"/>
      <c r="D40" s="41"/>
      <c r="E40" s="41"/>
      <c r="F40" s="41"/>
    </row>
    <row r="42" spans="1:6" ht="21.75" customHeight="1" x14ac:dyDescent="0.3">
      <c r="A42" s="42" t="s">
        <v>80</v>
      </c>
      <c r="B42" s="42"/>
      <c r="C42" s="42"/>
      <c r="D42" s="42"/>
      <c r="E42" s="42"/>
      <c r="F42" s="42"/>
    </row>
    <row r="43" spans="1:6" ht="19.5" customHeight="1" x14ac:dyDescent="0.3">
      <c r="A43" s="41" t="s">
        <v>81</v>
      </c>
      <c r="B43" s="41"/>
      <c r="C43" s="41"/>
      <c r="D43" s="41"/>
      <c r="E43" s="41"/>
      <c r="F43" s="41"/>
    </row>
    <row r="44" spans="1:6" ht="19.5" customHeight="1" x14ac:dyDescent="0.3">
      <c r="A44" s="41" t="s">
        <v>82</v>
      </c>
      <c r="B44" s="41"/>
      <c r="C44" s="41"/>
      <c r="D44" s="41"/>
      <c r="E44" s="41"/>
      <c r="F44" s="41"/>
    </row>
    <row r="45" spans="1:6" ht="19.5" customHeight="1" x14ac:dyDescent="0.3">
      <c r="A45" s="41" t="s">
        <v>83</v>
      </c>
      <c r="B45" s="41"/>
      <c r="C45" s="41"/>
      <c r="D45" s="41"/>
      <c r="E45" s="41"/>
      <c r="F45" s="41"/>
    </row>
    <row r="46" spans="1:6" ht="19.5" customHeight="1" x14ac:dyDescent="0.3">
      <c r="A46" s="41" t="s">
        <v>84</v>
      </c>
      <c r="B46" s="41"/>
      <c r="C46" s="41"/>
      <c r="D46" s="41"/>
      <c r="E46" s="41"/>
      <c r="F46" s="41"/>
    </row>
    <row r="48" spans="1:6" ht="21.75" customHeight="1" x14ac:dyDescent="0.3">
      <c r="A48" s="42" t="s">
        <v>85</v>
      </c>
      <c r="B48" s="42"/>
      <c r="C48" s="42"/>
      <c r="D48" s="42"/>
      <c r="E48" s="42"/>
      <c r="F48" s="42"/>
    </row>
    <row r="49" spans="1:6" ht="64.5" customHeight="1" x14ac:dyDescent="0.3">
      <c r="A49" s="41" t="s">
        <v>86</v>
      </c>
      <c r="B49" s="41"/>
      <c r="C49" s="41"/>
      <c r="D49" s="41"/>
      <c r="E49" s="41"/>
      <c r="F49" s="41"/>
    </row>
  </sheetData>
  <mergeCells count="39">
    <mergeCell ref="A1:F1"/>
    <mergeCell ref="A2:F2"/>
    <mergeCell ref="A4:F4"/>
    <mergeCell ref="A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7:F17"/>
    <mergeCell ref="A19:F19"/>
    <mergeCell ref="A20:F20"/>
    <mergeCell ref="A22:F22"/>
    <mergeCell ref="A23:F23"/>
    <mergeCell ref="A24:F24"/>
    <mergeCell ref="A25:F25"/>
    <mergeCell ref="A27:F27"/>
    <mergeCell ref="B28:F28"/>
    <mergeCell ref="B29:F29"/>
    <mergeCell ref="B30:F30"/>
    <mergeCell ref="B31:F31"/>
    <mergeCell ref="B32:F32"/>
    <mergeCell ref="A34:F34"/>
    <mergeCell ref="A35:F35"/>
    <mergeCell ref="A36:F36"/>
    <mergeCell ref="A37:F37"/>
    <mergeCell ref="A45:F45"/>
    <mergeCell ref="A46:F46"/>
    <mergeCell ref="A48:F48"/>
    <mergeCell ref="A49:F49"/>
    <mergeCell ref="A39:F39"/>
    <mergeCell ref="A40:F40"/>
    <mergeCell ref="A42:F42"/>
    <mergeCell ref="A43:F43"/>
    <mergeCell ref="A44:F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topLeftCell="A28" zoomScaleNormal="100" workbookViewId="0">
      <selection sqref="A1:H1"/>
    </sheetView>
  </sheetViews>
  <sheetFormatPr baseColWidth="10" defaultColWidth="8.6640625" defaultRowHeight="14.4" x14ac:dyDescent="0.3"/>
  <cols>
    <col min="1" max="1" width="4" customWidth="1"/>
    <col min="2" max="2" width="12" customWidth="1"/>
    <col min="3" max="3" width="20" customWidth="1"/>
    <col min="4" max="5" width="12" customWidth="1"/>
    <col min="6" max="6" width="55" customWidth="1"/>
    <col min="7" max="7" width="32" customWidth="1"/>
    <col min="8" max="8" width="12" customWidth="1"/>
  </cols>
  <sheetData>
    <row r="1" spans="1:8" ht="25.5" customHeight="1" x14ac:dyDescent="0.3">
      <c r="A1" s="37" t="s">
        <v>87</v>
      </c>
      <c r="B1" s="37"/>
      <c r="C1" s="37"/>
      <c r="D1" s="37"/>
      <c r="E1" s="37"/>
      <c r="F1" s="37"/>
      <c r="G1" s="37"/>
      <c r="H1" s="37"/>
    </row>
    <row r="2" spans="1:8" ht="15.75" customHeight="1" x14ac:dyDescent="0.3">
      <c r="A2" s="38" t="s">
        <v>88</v>
      </c>
      <c r="B2" s="38"/>
      <c r="C2" s="38"/>
      <c r="D2" s="38"/>
      <c r="E2" s="38"/>
      <c r="F2" s="38"/>
      <c r="G2" s="38"/>
      <c r="H2" s="38"/>
    </row>
    <row r="4" spans="1:8" ht="30" customHeight="1" x14ac:dyDescent="0.3">
      <c r="A4" s="1" t="s">
        <v>89</v>
      </c>
      <c r="B4" s="1" t="s">
        <v>90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95</v>
      </c>
      <c r="H4" s="1" t="s">
        <v>96</v>
      </c>
    </row>
    <row r="5" spans="1:8" ht="45.75" customHeight="1" x14ac:dyDescent="0.3">
      <c r="A5" s="10">
        <v>1</v>
      </c>
      <c r="B5" s="11" t="s">
        <v>97</v>
      </c>
      <c r="C5" s="11" t="s">
        <v>39</v>
      </c>
      <c r="D5" s="10">
        <v>5</v>
      </c>
      <c r="E5" s="10" t="s">
        <v>98</v>
      </c>
      <c r="F5" s="2" t="s">
        <v>99</v>
      </c>
      <c r="G5" s="11" t="s">
        <v>100</v>
      </c>
      <c r="H5" s="12" t="s">
        <v>101</v>
      </c>
    </row>
    <row r="6" spans="1:8" ht="45.75" customHeight="1" x14ac:dyDescent="0.3">
      <c r="A6" s="10">
        <v>2</v>
      </c>
      <c r="B6" s="11" t="s">
        <v>97</v>
      </c>
      <c r="C6" s="11" t="s">
        <v>102</v>
      </c>
      <c r="D6" s="10">
        <v>5</v>
      </c>
      <c r="E6" s="10" t="s">
        <v>103</v>
      </c>
      <c r="F6" s="2" t="s">
        <v>104</v>
      </c>
      <c r="G6" s="11" t="s">
        <v>100</v>
      </c>
      <c r="H6" s="12" t="s">
        <v>101</v>
      </c>
    </row>
    <row r="7" spans="1:8" ht="45.75" customHeight="1" x14ac:dyDescent="0.3">
      <c r="A7" s="10">
        <v>3</v>
      </c>
      <c r="B7" s="11" t="s">
        <v>105</v>
      </c>
      <c r="C7" s="11" t="s">
        <v>106</v>
      </c>
      <c r="D7" s="10">
        <v>5</v>
      </c>
      <c r="E7" s="10" t="s">
        <v>107</v>
      </c>
      <c r="F7" s="2" t="s">
        <v>108</v>
      </c>
      <c r="G7" s="11" t="s">
        <v>100</v>
      </c>
      <c r="H7" s="12" t="s">
        <v>101</v>
      </c>
    </row>
    <row r="8" spans="1:8" ht="45.75" customHeight="1" x14ac:dyDescent="0.3">
      <c r="A8" s="10">
        <v>4</v>
      </c>
      <c r="B8" s="11" t="s">
        <v>97</v>
      </c>
      <c r="C8" s="11" t="s">
        <v>109</v>
      </c>
      <c r="D8" s="10"/>
      <c r="E8" s="10" t="s">
        <v>110</v>
      </c>
      <c r="F8" s="2" t="s">
        <v>111</v>
      </c>
      <c r="G8" s="11" t="s">
        <v>100</v>
      </c>
      <c r="H8" s="12" t="s">
        <v>101</v>
      </c>
    </row>
    <row r="9" spans="1:8" ht="45.75" customHeight="1" x14ac:dyDescent="0.3">
      <c r="A9" s="10">
        <v>5</v>
      </c>
      <c r="B9" s="11" t="s">
        <v>105</v>
      </c>
      <c r="C9" s="11" t="s">
        <v>112</v>
      </c>
      <c r="D9" s="10">
        <v>3</v>
      </c>
      <c r="E9" s="10" t="s">
        <v>113</v>
      </c>
      <c r="F9" s="2" t="s">
        <v>114</v>
      </c>
      <c r="G9" s="11" t="s">
        <v>115</v>
      </c>
      <c r="H9" s="13" t="s">
        <v>116</v>
      </c>
    </row>
    <row r="10" spans="1:8" ht="45.75" customHeight="1" x14ac:dyDescent="0.3">
      <c r="A10" s="10">
        <v>6</v>
      </c>
      <c r="B10" s="11" t="s">
        <v>97</v>
      </c>
      <c r="C10" s="11" t="s">
        <v>117</v>
      </c>
      <c r="D10" s="10">
        <v>2</v>
      </c>
      <c r="E10" s="10" t="s">
        <v>118</v>
      </c>
      <c r="F10" s="2" t="s">
        <v>119</v>
      </c>
      <c r="G10" s="11" t="s">
        <v>115</v>
      </c>
      <c r="H10" s="14" t="s">
        <v>120</v>
      </c>
    </row>
    <row r="11" spans="1:8" ht="45.75" customHeight="1" x14ac:dyDescent="0.3">
      <c r="A11" s="10">
        <v>7</v>
      </c>
      <c r="B11" s="11" t="s">
        <v>105</v>
      </c>
      <c r="C11" s="11" t="s">
        <v>121</v>
      </c>
      <c r="D11" s="10">
        <v>2</v>
      </c>
      <c r="E11" s="10" t="s">
        <v>122</v>
      </c>
      <c r="F11" s="2" t="s">
        <v>123</v>
      </c>
      <c r="G11" s="11" t="s">
        <v>124</v>
      </c>
      <c r="H11" s="14" t="s">
        <v>120</v>
      </c>
    </row>
    <row r="12" spans="1:8" ht="45.75" customHeight="1" x14ac:dyDescent="0.3">
      <c r="A12" s="10">
        <v>8</v>
      </c>
      <c r="B12" s="11" t="s">
        <v>97</v>
      </c>
      <c r="C12" s="11" t="s">
        <v>125</v>
      </c>
      <c r="D12" s="10">
        <v>3</v>
      </c>
      <c r="E12" s="10" t="s">
        <v>126</v>
      </c>
      <c r="F12" s="2" t="s">
        <v>127</v>
      </c>
      <c r="G12" s="11" t="s">
        <v>124</v>
      </c>
      <c r="H12" s="13" t="s">
        <v>116</v>
      </c>
    </row>
    <row r="13" spans="1:8" ht="45.75" customHeight="1" x14ac:dyDescent="0.3">
      <c r="A13" s="10">
        <v>9</v>
      </c>
      <c r="B13" s="11" t="s">
        <v>128</v>
      </c>
      <c r="C13" s="11" t="s">
        <v>129</v>
      </c>
      <c r="D13" s="10"/>
      <c r="E13" s="10" t="s">
        <v>110</v>
      </c>
      <c r="F13" s="2" t="s">
        <v>130</v>
      </c>
      <c r="G13" s="11" t="s">
        <v>131</v>
      </c>
      <c r="H13" s="14" t="s">
        <v>120</v>
      </c>
    </row>
    <row r="14" spans="1:8" ht="45.75" customHeight="1" x14ac:dyDescent="0.3">
      <c r="A14" s="10">
        <v>10</v>
      </c>
      <c r="B14" s="11" t="s">
        <v>105</v>
      </c>
      <c r="C14" s="11" t="s">
        <v>132</v>
      </c>
      <c r="D14" s="10">
        <v>4</v>
      </c>
      <c r="E14" s="10" t="s">
        <v>98</v>
      </c>
      <c r="F14" s="2" t="s">
        <v>133</v>
      </c>
      <c r="G14" s="11" t="s">
        <v>131</v>
      </c>
      <c r="H14" s="13" t="s">
        <v>116</v>
      </c>
    </row>
    <row r="15" spans="1:8" ht="45.75" customHeight="1" x14ac:dyDescent="0.3">
      <c r="A15" s="10">
        <v>11</v>
      </c>
      <c r="B15" s="11" t="s">
        <v>97</v>
      </c>
      <c r="C15" s="11" t="s">
        <v>134</v>
      </c>
      <c r="D15" s="10">
        <v>2</v>
      </c>
      <c r="E15" s="10" t="s">
        <v>135</v>
      </c>
      <c r="F15" s="2" t="s">
        <v>136</v>
      </c>
      <c r="G15" s="11" t="s">
        <v>137</v>
      </c>
      <c r="H15" s="14" t="s">
        <v>120</v>
      </c>
    </row>
    <row r="16" spans="1:8" ht="45.75" customHeight="1" x14ac:dyDescent="0.3">
      <c r="A16" s="10">
        <v>12</v>
      </c>
      <c r="B16" s="11" t="s">
        <v>105</v>
      </c>
      <c r="C16" s="11" t="s">
        <v>138</v>
      </c>
      <c r="D16" s="10">
        <v>3</v>
      </c>
      <c r="E16" s="10" t="s">
        <v>118</v>
      </c>
      <c r="F16" s="2" t="s">
        <v>139</v>
      </c>
      <c r="G16" s="11" t="s">
        <v>137</v>
      </c>
      <c r="H16" s="13" t="s">
        <v>116</v>
      </c>
    </row>
    <row r="17" spans="1:8" ht="45.75" customHeight="1" x14ac:dyDescent="0.3">
      <c r="A17" s="10">
        <v>13</v>
      </c>
      <c r="B17" s="11" t="s">
        <v>97</v>
      </c>
      <c r="C17" s="11" t="s">
        <v>140</v>
      </c>
      <c r="D17" s="10">
        <v>5</v>
      </c>
      <c r="E17" s="10" t="s">
        <v>141</v>
      </c>
      <c r="F17" s="2" t="s">
        <v>142</v>
      </c>
      <c r="G17" s="11" t="s">
        <v>100</v>
      </c>
      <c r="H17" s="12" t="s">
        <v>101</v>
      </c>
    </row>
    <row r="19" spans="1:8" ht="22.35" customHeight="1" x14ac:dyDescent="0.3">
      <c r="A19" s="39" t="s">
        <v>143</v>
      </c>
      <c r="B19" s="39"/>
      <c r="C19" s="39"/>
      <c r="D19" s="39"/>
      <c r="E19" s="39"/>
      <c r="F19" s="39"/>
      <c r="G19" s="39"/>
      <c r="H19" s="39"/>
    </row>
    <row r="22" spans="1:8" ht="15.6" x14ac:dyDescent="0.3">
      <c r="A22" s="4" t="s">
        <v>144</v>
      </c>
    </row>
    <row r="23" spans="1:8" ht="15" customHeight="1" x14ac:dyDescent="0.3">
      <c r="A23" s="39" t="s">
        <v>145</v>
      </c>
      <c r="B23" s="39"/>
      <c r="C23" s="39"/>
      <c r="D23" s="39"/>
      <c r="E23" s="39"/>
      <c r="F23" s="39"/>
      <c r="G23" s="39"/>
      <c r="H23" s="39"/>
    </row>
    <row r="25" spans="1:8" ht="24" customHeight="1" x14ac:dyDescent="0.3">
      <c r="A25" s="1" t="s">
        <v>89</v>
      </c>
      <c r="B25" s="1" t="s">
        <v>146</v>
      </c>
      <c r="C25" s="1" t="s">
        <v>147</v>
      </c>
      <c r="D25" s="1" t="s">
        <v>148</v>
      </c>
      <c r="E25" s="1" t="s">
        <v>149</v>
      </c>
    </row>
    <row r="26" spans="1:8" ht="92.4" x14ac:dyDescent="0.3">
      <c r="A26" s="2">
        <v>1</v>
      </c>
      <c r="B26" s="2" t="s">
        <v>150</v>
      </c>
      <c r="C26" s="2" t="s">
        <v>151</v>
      </c>
      <c r="D26" s="15">
        <f>AVERAGE('Respuestas Encuesta'!D6:D55)</f>
        <v>8.06</v>
      </c>
      <c r="E26" s="2" t="s">
        <v>152</v>
      </c>
    </row>
    <row r="27" spans="1:8" ht="66" x14ac:dyDescent="0.3">
      <c r="A27" s="2">
        <v>2</v>
      </c>
      <c r="B27" s="2" t="s">
        <v>153</v>
      </c>
      <c r="C27" s="2" t="s">
        <v>154</v>
      </c>
      <c r="D27" s="15">
        <f>AVERAGE('Respuestas Encuesta'!F6:F55)</f>
        <v>3.76</v>
      </c>
      <c r="E27" s="2" t="s">
        <v>155</v>
      </c>
    </row>
    <row r="28" spans="1:8" ht="39.6" x14ac:dyDescent="0.3">
      <c r="A28" s="2">
        <v>3</v>
      </c>
      <c r="B28" s="2" t="s">
        <v>156</v>
      </c>
      <c r="C28" s="2" t="s">
        <v>157</v>
      </c>
      <c r="D28" s="15">
        <f>AVERAGE('Respuestas Encuesta'!G6:G55)</f>
        <v>3.46</v>
      </c>
      <c r="E28" s="2" t="s">
        <v>155</v>
      </c>
    </row>
    <row r="29" spans="1:8" ht="68.400000000000006" x14ac:dyDescent="0.3">
      <c r="A29" s="2">
        <v>4</v>
      </c>
      <c r="B29" s="2" t="s">
        <v>158</v>
      </c>
      <c r="C29" s="2" t="s">
        <v>159</v>
      </c>
      <c r="D29" s="3" t="s">
        <v>160</v>
      </c>
      <c r="E29" s="2" t="s">
        <v>161</v>
      </c>
    </row>
    <row r="30" spans="1:8" ht="91.2" x14ac:dyDescent="0.3">
      <c r="A30" s="2">
        <v>5</v>
      </c>
      <c r="B30" s="2" t="s">
        <v>162</v>
      </c>
      <c r="C30" s="2" t="s">
        <v>163</v>
      </c>
      <c r="D30" s="3" t="s">
        <v>164</v>
      </c>
      <c r="E30" s="2" t="s">
        <v>161</v>
      </c>
    </row>
    <row r="31" spans="1:8" ht="15" customHeight="1" x14ac:dyDescent="0.3">
      <c r="A31" s="46" t="s">
        <v>165</v>
      </c>
      <c r="B31" s="46"/>
      <c r="C31" s="46"/>
      <c r="D31" s="46"/>
      <c r="E31" s="46"/>
      <c r="F31" s="46"/>
      <c r="G31" s="46"/>
      <c r="H31" s="46"/>
    </row>
  </sheetData>
  <mergeCells count="5">
    <mergeCell ref="A1:H1"/>
    <mergeCell ref="A2:H2"/>
    <mergeCell ref="A19:H19"/>
    <mergeCell ref="A23:H23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showGridLines="0" zoomScaleNormal="100" workbookViewId="0">
      <pane ySplit="5" topLeftCell="A52" activePane="bottomLeft" state="frozen"/>
      <selection pane="bottomLeft" sqref="A1:J1"/>
    </sheetView>
  </sheetViews>
  <sheetFormatPr baseColWidth="10"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2" customWidth="1"/>
    <col min="5" max="5" width="15" customWidth="1"/>
    <col min="6" max="7" width="10" customWidth="1"/>
    <col min="8" max="8" width="28" customWidth="1"/>
    <col min="9" max="9" width="36" customWidth="1"/>
    <col min="10" max="10" width="34" customWidth="1"/>
  </cols>
  <sheetData>
    <row r="1" spans="1:10" ht="25.5" customHeight="1" x14ac:dyDescent="0.3">
      <c r="A1" s="37" t="s">
        <v>166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.75" customHeight="1" x14ac:dyDescent="0.3">
      <c r="A2" s="38" t="s">
        <v>167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15" customHeight="1" x14ac:dyDescent="0.3">
      <c r="A3" s="46" t="s">
        <v>168</v>
      </c>
      <c r="B3" s="46"/>
      <c r="C3" s="46"/>
      <c r="D3" s="46"/>
      <c r="E3" s="46"/>
      <c r="F3" s="46"/>
      <c r="G3" s="46"/>
      <c r="H3" s="46"/>
      <c r="I3" s="46"/>
      <c r="J3" s="46"/>
    </row>
    <row r="5" spans="1:10" ht="33.75" customHeight="1" x14ac:dyDescent="0.3">
      <c r="A5" s="1" t="s">
        <v>169</v>
      </c>
      <c r="B5" s="1" t="s">
        <v>170</v>
      </c>
      <c r="C5" s="1" t="s">
        <v>171</v>
      </c>
      <c r="D5" s="1" t="s">
        <v>172</v>
      </c>
      <c r="E5" s="1" t="s">
        <v>173</v>
      </c>
      <c r="F5" s="1" t="s">
        <v>174</v>
      </c>
      <c r="G5" s="1" t="s">
        <v>175</v>
      </c>
      <c r="H5" s="1" t="s">
        <v>176</v>
      </c>
      <c r="I5" s="1" t="s">
        <v>177</v>
      </c>
      <c r="J5" s="1" t="s">
        <v>94</v>
      </c>
    </row>
    <row r="6" spans="1:10" ht="27.75" customHeight="1" x14ac:dyDescent="0.3">
      <c r="A6" s="10" t="s">
        <v>178</v>
      </c>
      <c r="B6" s="16">
        <v>46034</v>
      </c>
      <c r="C6" s="10" t="s">
        <v>179</v>
      </c>
      <c r="D6" s="10">
        <v>9</v>
      </c>
      <c r="E6" s="12" t="str">
        <f t="shared" ref="E6:E37" si="0">IF(D6&gt;=9,"Promotor",IF(D6&gt;=7,"Pasivo","Detractor"))</f>
        <v>Promotor</v>
      </c>
      <c r="F6" s="10">
        <v>5</v>
      </c>
      <c r="G6" s="10">
        <v>5</v>
      </c>
      <c r="H6" s="2" t="s">
        <v>180</v>
      </c>
      <c r="I6" s="2" t="s">
        <v>100</v>
      </c>
      <c r="J6" s="2" t="s">
        <v>181</v>
      </c>
    </row>
    <row r="7" spans="1:10" ht="27.75" customHeight="1" x14ac:dyDescent="0.3">
      <c r="A7" s="10" t="s">
        <v>182</v>
      </c>
      <c r="B7" s="16">
        <v>46033</v>
      </c>
      <c r="C7" s="10" t="s">
        <v>183</v>
      </c>
      <c r="D7" s="10">
        <v>9</v>
      </c>
      <c r="E7" s="12" t="str">
        <f t="shared" si="0"/>
        <v>Promotor</v>
      </c>
      <c r="F7" s="10">
        <v>4</v>
      </c>
      <c r="G7" s="10">
        <v>4</v>
      </c>
      <c r="H7" s="2" t="s">
        <v>184</v>
      </c>
      <c r="I7" s="2" t="s">
        <v>131</v>
      </c>
      <c r="J7" s="2" t="s">
        <v>185</v>
      </c>
    </row>
    <row r="8" spans="1:10" ht="27.75" customHeight="1" x14ac:dyDescent="0.3">
      <c r="A8" s="10" t="s">
        <v>186</v>
      </c>
      <c r="B8" s="16">
        <v>46034</v>
      </c>
      <c r="C8" s="10" t="s">
        <v>97</v>
      </c>
      <c r="D8" s="10">
        <v>8</v>
      </c>
      <c r="E8" s="13" t="str">
        <f t="shared" si="0"/>
        <v>Pasivo</v>
      </c>
      <c r="F8" s="10">
        <v>4</v>
      </c>
      <c r="G8" s="10">
        <v>1</v>
      </c>
      <c r="H8" s="2" t="s">
        <v>187</v>
      </c>
      <c r="I8" s="2" t="s">
        <v>115</v>
      </c>
      <c r="J8" s="2" t="s">
        <v>188</v>
      </c>
    </row>
    <row r="9" spans="1:10" ht="27.75" customHeight="1" x14ac:dyDescent="0.3">
      <c r="A9" s="10" t="s">
        <v>189</v>
      </c>
      <c r="B9" s="16">
        <v>46055</v>
      </c>
      <c r="C9" s="10" t="s">
        <v>179</v>
      </c>
      <c r="D9" s="10">
        <v>8</v>
      </c>
      <c r="E9" s="13" t="str">
        <f t="shared" si="0"/>
        <v>Pasivo</v>
      </c>
      <c r="F9" s="10">
        <v>5</v>
      </c>
      <c r="G9" s="10">
        <v>2</v>
      </c>
      <c r="H9" s="2" t="s">
        <v>190</v>
      </c>
      <c r="I9" s="2" t="s">
        <v>137</v>
      </c>
      <c r="J9" s="2" t="s">
        <v>191</v>
      </c>
    </row>
    <row r="10" spans="1:10" ht="27.75" customHeight="1" x14ac:dyDescent="0.3">
      <c r="A10" s="10" t="s">
        <v>192</v>
      </c>
      <c r="B10" s="16">
        <v>46030</v>
      </c>
      <c r="C10" s="10" t="s">
        <v>97</v>
      </c>
      <c r="D10" s="10">
        <v>9</v>
      </c>
      <c r="E10" s="12" t="str">
        <f t="shared" si="0"/>
        <v>Promotor</v>
      </c>
      <c r="F10" s="10">
        <v>5</v>
      </c>
      <c r="G10" s="10">
        <v>3</v>
      </c>
      <c r="H10" s="2" t="s">
        <v>180</v>
      </c>
      <c r="I10" s="2" t="s">
        <v>193</v>
      </c>
      <c r="J10" s="2" t="s">
        <v>194</v>
      </c>
    </row>
    <row r="11" spans="1:10" ht="27.75" customHeight="1" x14ac:dyDescent="0.3">
      <c r="A11" s="10" t="s">
        <v>195</v>
      </c>
      <c r="B11" s="16">
        <v>46043</v>
      </c>
      <c r="C11" s="10" t="s">
        <v>97</v>
      </c>
      <c r="D11" s="10">
        <v>9</v>
      </c>
      <c r="E11" s="12" t="str">
        <f t="shared" si="0"/>
        <v>Promotor</v>
      </c>
      <c r="F11" s="10">
        <v>3</v>
      </c>
      <c r="G11" s="10">
        <v>4</v>
      </c>
      <c r="H11" s="2" t="s">
        <v>187</v>
      </c>
      <c r="I11" s="2" t="s">
        <v>100</v>
      </c>
      <c r="J11" s="2" t="s">
        <v>196</v>
      </c>
    </row>
    <row r="12" spans="1:10" ht="27.75" customHeight="1" x14ac:dyDescent="0.3">
      <c r="A12" s="10" t="s">
        <v>197</v>
      </c>
      <c r="B12" s="16">
        <v>46071</v>
      </c>
      <c r="C12" s="10" t="s">
        <v>105</v>
      </c>
      <c r="D12" s="10">
        <v>8</v>
      </c>
      <c r="E12" s="13" t="str">
        <f t="shared" si="0"/>
        <v>Pasivo</v>
      </c>
      <c r="F12" s="10">
        <v>4</v>
      </c>
      <c r="G12" s="10">
        <v>4</v>
      </c>
      <c r="H12" s="2" t="s">
        <v>198</v>
      </c>
      <c r="I12" s="2" t="s">
        <v>100</v>
      </c>
      <c r="J12" s="2" t="s">
        <v>196</v>
      </c>
    </row>
    <row r="13" spans="1:10" ht="27.75" customHeight="1" x14ac:dyDescent="0.3">
      <c r="A13" s="10" t="s">
        <v>199</v>
      </c>
      <c r="B13" s="16">
        <v>46037</v>
      </c>
      <c r="C13" s="10" t="s">
        <v>97</v>
      </c>
      <c r="D13" s="10">
        <v>3</v>
      </c>
      <c r="E13" s="14" t="str">
        <f t="shared" si="0"/>
        <v>Detractor</v>
      </c>
      <c r="F13" s="10">
        <v>3</v>
      </c>
      <c r="G13" s="10">
        <v>2</v>
      </c>
      <c r="H13" s="2" t="s">
        <v>198</v>
      </c>
      <c r="I13" s="2" t="s">
        <v>100</v>
      </c>
      <c r="J13" s="2" t="s">
        <v>200</v>
      </c>
    </row>
    <row r="14" spans="1:10" ht="27.75" customHeight="1" x14ac:dyDescent="0.3">
      <c r="A14" s="10" t="s">
        <v>201</v>
      </c>
      <c r="B14" s="16">
        <v>46030</v>
      </c>
      <c r="C14" s="10" t="s">
        <v>183</v>
      </c>
      <c r="D14" s="10">
        <v>7</v>
      </c>
      <c r="E14" s="13" t="str">
        <f t="shared" si="0"/>
        <v>Pasivo</v>
      </c>
      <c r="F14" s="10">
        <v>4</v>
      </c>
      <c r="G14" s="10">
        <v>4</v>
      </c>
      <c r="H14" s="2" t="s">
        <v>184</v>
      </c>
      <c r="I14" s="2" t="s">
        <v>124</v>
      </c>
      <c r="J14" s="2" t="s">
        <v>202</v>
      </c>
    </row>
    <row r="15" spans="1:10" ht="27.75" customHeight="1" x14ac:dyDescent="0.3">
      <c r="A15" s="10" t="s">
        <v>203</v>
      </c>
      <c r="B15" s="16">
        <v>46069</v>
      </c>
      <c r="C15" s="10" t="s">
        <v>179</v>
      </c>
      <c r="D15" s="10">
        <v>9</v>
      </c>
      <c r="E15" s="12" t="str">
        <f t="shared" si="0"/>
        <v>Promotor</v>
      </c>
      <c r="F15" s="10">
        <v>5</v>
      </c>
      <c r="G15" s="10">
        <v>5</v>
      </c>
      <c r="H15" s="2" t="s">
        <v>180</v>
      </c>
      <c r="I15" s="2" t="s">
        <v>137</v>
      </c>
      <c r="J15" s="2" t="s">
        <v>191</v>
      </c>
    </row>
    <row r="16" spans="1:10" ht="27.75" customHeight="1" x14ac:dyDescent="0.3">
      <c r="A16" s="10" t="s">
        <v>204</v>
      </c>
      <c r="B16" s="16">
        <v>46027</v>
      </c>
      <c r="C16" s="10" t="s">
        <v>183</v>
      </c>
      <c r="D16" s="10">
        <v>7</v>
      </c>
      <c r="E16" s="13" t="str">
        <f t="shared" si="0"/>
        <v>Pasivo</v>
      </c>
      <c r="F16" s="10">
        <v>3</v>
      </c>
      <c r="G16" s="10">
        <v>3</v>
      </c>
      <c r="H16" s="2" t="s">
        <v>198</v>
      </c>
      <c r="I16" s="2" t="s">
        <v>193</v>
      </c>
      <c r="J16" s="2" t="s">
        <v>205</v>
      </c>
    </row>
    <row r="17" spans="1:10" ht="27.75" customHeight="1" x14ac:dyDescent="0.3">
      <c r="A17" s="10" t="s">
        <v>206</v>
      </c>
      <c r="B17" s="16">
        <v>46038</v>
      </c>
      <c r="C17" s="10" t="s">
        <v>97</v>
      </c>
      <c r="D17" s="10">
        <v>7</v>
      </c>
      <c r="E17" s="13" t="str">
        <f t="shared" si="0"/>
        <v>Pasivo</v>
      </c>
      <c r="F17" s="10">
        <v>2</v>
      </c>
      <c r="G17" s="10">
        <v>3</v>
      </c>
      <c r="H17" s="2" t="s">
        <v>180</v>
      </c>
      <c r="I17" s="2" t="s">
        <v>137</v>
      </c>
      <c r="J17" s="2" t="s">
        <v>191</v>
      </c>
    </row>
    <row r="18" spans="1:10" ht="27.75" customHeight="1" x14ac:dyDescent="0.3">
      <c r="A18" s="10" t="s">
        <v>207</v>
      </c>
      <c r="B18" s="16">
        <v>46038</v>
      </c>
      <c r="C18" s="10" t="s">
        <v>183</v>
      </c>
      <c r="D18" s="10">
        <v>10</v>
      </c>
      <c r="E18" s="12" t="str">
        <f t="shared" si="0"/>
        <v>Promotor</v>
      </c>
      <c r="F18" s="10">
        <v>4</v>
      </c>
      <c r="G18" s="10">
        <v>5</v>
      </c>
      <c r="H18" s="2" t="s">
        <v>198</v>
      </c>
      <c r="I18" s="2" t="s">
        <v>100</v>
      </c>
      <c r="J18" s="2" t="s">
        <v>181</v>
      </c>
    </row>
    <row r="19" spans="1:10" ht="27.75" customHeight="1" x14ac:dyDescent="0.3">
      <c r="A19" s="10" t="s">
        <v>208</v>
      </c>
      <c r="B19" s="16">
        <v>46070</v>
      </c>
      <c r="C19" s="10" t="s">
        <v>97</v>
      </c>
      <c r="D19" s="10">
        <v>10</v>
      </c>
      <c r="E19" s="12" t="str">
        <f t="shared" si="0"/>
        <v>Promotor</v>
      </c>
      <c r="F19" s="10">
        <v>4</v>
      </c>
      <c r="G19" s="10">
        <v>2</v>
      </c>
      <c r="H19" s="2" t="s">
        <v>190</v>
      </c>
      <c r="I19" s="2" t="s">
        <v>115</v>
      </c>
      <c r="J19" s="2" t="s">
        <v>209</v>
      </c>
    </row>
    <row r="20" spans="1:10" ht="27.75" customHeight="1" x14ac:dyDescent="0.3">
      <c r="A20" s="10" t="s">
        <v>210</v>
      </c>
      <c r="B20" s="16">
        <v>46037</v>
      </c>
      <c r="C20" s="10" t="s">
        <v>97</v>
      </c>
      <c r="D20" s="10">
        <v>5</v>
      </c>
      <c r="E20" s="14" t="str">
        <f t="shared" si="0"/>
        <v>Detractor</v>
      </c>
      <c r="F20" s="10">
        <v>3</v>
      </c>
      <c r="G20" s="10">
        <v>2</v>
      </c>
      <c r="H20" s="2" t="s">
        <v>211</v>
      </c>
      <c r="I20" s="2" t="s">
        <v>124</v>
      </c>
      <c r="J20" s="2" t="s">
        <v>212</v>
      </c>
    </row>
    <row r="21" spans="1:10" ht="27.75" customHeight="1" x14ac:dyDescent="0.3">
      <c r="A21" s="10" t="s">
        <v>213</v>
      </c>
      <c r="B21" s="16">
        <v>46071</v>
      </c>
      <c r="C21" s="10" t="s">
        <v>179</v>
      </c>
      <c r="D21" s="10">
        <v>6</v>
      </c>
      <c r="E21" s="14" t="str">
        <f t="shared" si="0"/>
        <v>Detractor</v>
      </c>
      <c r="F21" s="10">
        <v>2</v>
      </c>
      <c r="G21" s="10">
        <v>2</v>
      </c>
      <c r="H21" s="2" t="s">
        <v>184</v>
      </c>
      <c r="I21" s="2" t="s">
        <v>137</v>
      </c>
      <c r="J21" s="2" t="s">
        <v>214</v>
      </c>
    </row>
    <row r="22" spans="1:10" ht="27.75" customHeight="1" x14ac:dyDescent="0.3">
      <c r="A22" s="10" t="s">
        <v>215</v>
      </c>
      <c r="B22" s="16">
        <v>46056</v>
      </c>
      <c r="C22" s="10" t="s">
        <v>179</v>
      </c>
      <c r="D22" s="10">
        <v>2</v>
      </c>
      <c r="E22" s="14" t="str">
        <f t="shared" si="0"/>
        <v>Detractor</v>
      </c>
      <c r="F22" s="10">
        <v>1</v>
      </c>
      <c r="G22" s="10">
        <v>2</v>
      </c>
      <c r="H22" s="2" t="s">
        <v>187</v>
      </c>
      <c r="I22" s="2" t="s">
        <v>115</v>
      </c>
      <c r="J22" s="2" t="s">
        <v>188</v>
      </c>
    </row>
    <row r="23" spans="1:10" ht="27.75" customHeight="1" x14ac:dyDescent="0.3">
      <c r="A23" s="10" t="s">
        <v>216</v>
      </c>
      <c r="B23" s="16">
        <v>46067</v>
      </c>
      <c r="C23" s="10" t="s">
        <v>97</v>
      </c>
      <c r="D23" s="10">
        <v>10</v>
      </c>
      <c r="E23" s="12" t="str">
        <f t="shared" si="0"/>
        <v>Promotor</v>
      </c>
      <c r="F23" s="10">
        <v>4</v>
      </c>
      <c r="G23" s="10">
        <v>3</v>
      </c>
      <c r="H23" s="2" t="s">
        <v>180</v>
      </c>
      <c r="I23" s="2" t="s">
        <v>100</v>
      </c>
      <c r="J23" s="2" t="s">
        <v>181</v>
      </c>
    </row>
    <row r="24" spans="1:10" ht="27.75" customHeight="1" x14ac:dyDescent="0.3">
      <c r="A24" s="10" t="s">
        <v>217</v>
      </c>
      <c r="B24" s="16">
        <v>46032</v>
      </c>
      <c r="C24" s="10" t="s">
        <v>105</v>
      </c>
      <c r="D24" s="10">
        <v>6</v>
      </c>
      <c r="E24" s="14" t="str">
        <f t="shared" si="0"/>
        <v>Detractor</v>
      </c>
      <c r="F24" s="10">
        <v>4</v>
      </c>
      <c r="G24" s="10">
        <v>3</v>
      </c>
      <c r="H24" s="2" t="s">
        <v>180</v>
      </c>
      <c r="I24" s="2" t="s">
        <v>115</v>
      </c>
      <c r="J24" s="2" t="s">
        <v>188</v>
      </c>
    </row>
    <row r="25" spans="1:10" ht="27.75" customHeight="1" x14ac:dyDescent="0.3">
      <c r="A25" s="10" t="s">
        <v>218</v>
      </c>
      <c r="B25" s="16">
        <v>46029</v>
      </c>
      <c r="C25" s="10" t="s">
        <v>179</v>
      </c>
      <c r="D25" s="10">
        <v>8</v>
      </c>
      <c r="E25" s="13" t="str">
        <f t="shared" si="0"/>
        <v>Pasivo</v>
      </c>
      <c r="F25" s="10">
        <v>2</v>
      </c>
      <c r="G25" s="10">
        <v>4</v>
      </c>
      <c r="H25" s="2" t="s">
        <v>198</v>
      </c>
      <c r="I25" s="2" t="s">
        <v>131</v>
      </c>
      <c r="J25" s="2" t="s">
        <v>219</v>
      </c>
    </row>
    <row r="26" spans="1:10" ht="27.75" customHeight="1" x14ac:dyDescent="0.3">
      <c r="A26" s="10" t="s">
        <v>220</v>
      </c>
      <c r="B26" s="16">
        <v>46072</v>
      </c>
      <c r="C26" s="10" t="s">
        <v>183</v>
      </c>
      <c r="D26" s="10">
        <v>7</v>
      </c>
      <c r="E26" s="13" t="str">
        <f t="shared" si="0"/>
        <v>Pasivo</v>
      </c>
      <c r="F26" s="10">
        <v>3</v>
      </c>
      <c r="G26" s="10">
        <v>4</v>
      </c>
      <c r="H26" s="2" t="s">
        <v>211</v>
      </c>
      <c r="I26" s="2" t="s">
        <v>100</v>
      </c>
      <c r="J26" s="2" t="s">
        <v>200</v>
      </c>
    </row>
    <row r="27" spans="1:10" ht="27.75" customHeight="1" x14ac:dyDescent="0.3">
      <c r="A27" s="10" t="s">
        <v>221</v>
      </c>
      <c r="B27" s="16">
        <v>46032</v>
      </c>
      <c r="C27" s="10" t="s">
        <v>105</v>
      </c>
      <c r="D27" s="10">
        <v>9</v>
      </c>
      <c r="E27" s="12" t="str">
        <f t="shared" si="0"/>
        <v>Promotor</v>
      </c>
      <c r="F27" s="10">
        <v>4</v>
      </c>
      <c r="G27" s="10">
        <v>3</v>
      </c>
      <c r="H27" s="2" t="s">
        <v>180</v>
      </c>
      <c r="I27" s="2" t="s">
        <v>100</v>
      </c>
      <c r="J27" s="2" t="s">
        <v>200</v>
      </c>
    </row>
    <row r="28" spans="1:10" ht="27.75" customHeight="1" x14ac:dyDescent="0.3">
      <c r="A28" s="10" t="s">
        <v>222</v>
      </c>
      <c r="B28" s="16">
        <v>46069</v>
      </c>
      <c r="C28" s="10" t="s">
        <v>183</v>
      </c>
      <c r="D28" s="10">
        <v>3</v>
      </c>
      <c r="E28" s="14" t="str">
        <f t="shared" si="0"/>
        <v>Detractor</v>
      </c>
      <c r="F28" s="10">
        <v>1</v>
      </c>
      <c r="G28" s="10">
        <v>1</v>
      </c>
      <c r="H28" s="2" t="s">
        <v>184</v>
      </c>
      <c r="I28" s="2" t="s">
        <v>137</v>
      </c>
      <c r="J28" s="2" t="s">
        <v>214</v>
      </c>
    </row>
    <row r="29" spans="1:10" ht="27.75" customHeight="1" x14ac:dyDescent="0.3">
      <c r="A29" s="10" t="s">
        <v>223</v>
      </c>
      <c r="B29" s="16">
        <v>46046</v>
      </c>
      <c r="C29" s="10" t="s">
        <v>179</v>
      </c>
      <c r="D29" s="10">
        <v>9</v>
      </c>
      <c r="E29" s="12" t="str">
        <f t="shared" si="0"/>
        <v>Promotor</v>
      </c>
      <c r="F29" s="10">
        <v>4</v>
      </c>
      <c r="G29" s="10">
        <v>4</v>
      </c>
      <c r="H29" s="2" t="s">
        <v>211</v>
      </c>
      <c r="I29" s="2" t="s">
        <v>137</v>
      </c>
      <c r="J29" s="2" t="s">
        <v>214</v>
      </c>
    </row>
    <row r="30" spans="1:10" ht="27.75" customHeight="1" x14ac:dyDescent="0.3">
      <c r="A30" s="10" t="s">
        <v>224</v>
      </c>
      <c r="B30" s="16">
        <v>46047</v>
      </c>
      <c r="C30" s="10" t="s">
        <v>97</v>
      </c>
      <c r="D30" s="10">
        <v>10</v>
      </c>
      <c r="E30" s="12" t="str">
        <f t="shared" si="0"/>
        <v>Promotor</v>
      </c>
      <c r="F30" s="10">
        <v>4</v>
      </c>
      <c r="G30" s="10">
        <v>5</v>
      </c>
      <c r="H30" s="2" t="s">
        <v>180</v>
      </c>
      <c r="I30" s="2" t="s">
        <v>193</v>
      </c>
      <c r="J30" s="2" t="s">
        <v>225</v>
      </c>
    </row>
    <row r="31" spans="1:10" ht="27.75" customHeight="1" x14ac:dyDescent="0.3">
      <c r="A31" s="10" t="s">
        <v>226</v>
      </c>
      <c r="B31" s="16">
        <v>46050</v>
      </c>
      <c r="C31" s="10" t="s">
        <v>105</v>
      </c>
      <c r="D31" s="10">
        <v>10</v>
      </c>
      <c r="E31" s="12" t="str">
        <f t="shared" si="0"/>
        <v>Promotor</v>
      </c>
      <c r="F31" s="10">
        <v>5</v>
      </c>
      <c r="G31" s="10">
        <v>4</v>
      </c>
      <c r="H31" s="2" t="s">
        <v>184</v>
      </c>
      <c r="I31" s="2" t="s">
        <v>100</v>
      </c>
      <c r="J31" s="2" t="s">
        <v>200</v>
      </c>
    </row>
    <row r="32" spans="1:10" ht="27.75" customHeight="1" x14ac:dyDescent="0.3">
      <c r="A32" s="10" t="s">
        <v>227</v>
      </c>
      <c r="B32" s="16">
        <v>46058</v>
      </c>
      <c r="C32" s="10" t="s">
        <v>179</v>
      </c>
      <c r="D32" s="10">
        <v>7</v>
      </c>
      <c r="E32" s="13" t="str">
        <f t="shared" si="0"/>
        <v>Pasivo</v>
      </c>
      <c r="F32" s="10">
        <v>4</v>
      </c>
      <c r="G32" s="10">
        <v>3</v>
      </c>
      <c r="H32" s="2" t="s">
        <v>211</v>
      </c>
      <c r="I32" s="2" t="s">
        <v>193</v>
      </c>
      <c r="J32" s="2" t="s">
        <v>194</v>
      </c>
    </row>
    <row r="33" spans="1:10" ht="27.75" customHeight="1" x14ac:dyDescent="0.3">
      <c r="A33" s="10" t="s">
        <v>228</v>
      </c>
      <c r="B33" s="16">
        <v>46027</v>
      </c>
      <c r="C33" s="10" t="s">
        <v>97</v>
      </c>
      <c r="D33" s="10">
        <v>10</v>
      </c>
      <c r="E33" s="12" t="str">
        <f t="shared" si="0"/>
        <v>Promotor</v>
      </c>
      <c r="F33" s="10">
        <v>3</v>
      </c>
      <c r="G33" s="10">
        <v>5</v>
      </c>
      <c r="H33" s="2" t="s">
        <v>187</v>
      </c>
      <c r="I33" s="2" t="s">
        <v>193</v>
      </c>
      <c r="J33" s="2" t="s">
        <v>205</v>
      </c>
    </row>
    <row r="34" spans="1:10" ht="27.75" customHeight="1" x14ac:dyDescent="0.3">
      <c r="A34" s="10" t="s">
        <v>229</v>
      </c>
      <c r="B34" s="16">
        <v>46072</v>
      </c>
      <c r="C34" s="10" t="s">
        <v>183</v>
      </c>
      <c r="D34" s="10">
        <v>10</v>
      </c>
      <c r="E34" s="12" t="str">
        <f t="shared" si="0"/>
        <v>Promotor</v>
      </c>
      <c r="F34" s="10">
        <v>4</v>
      </c>
      <c r="G34" s="10">
        <v>4</v>
      </c>
      <c r="H34" s="2" t="s">
        <v>198</v>
      </c>
      <c r="I34" s="2" t="s">
        <v>100</v>
      </c>
      <c r="J34" s="2" t="s">
        <v>181</v>
      </c>
    </row>
    <row r="35" spans="1:10" ht="27.75" customHeight="1" x14ac:dyDescent="0.3">
      <c r="A35" s="10" t="s">
        <v>230</v>
      </c>
      <c r="B35" s="16">
        <v>46031</v>
      </c>
      <c r="C35" s="10" t="s">
        <v>97</v>
      </c>
      <c r="D35" s="10">
        <v>7</v>
      </c>
      <c r="E35" s="13" t="str">
        <f t="shared" si="0"/>
        <v>Pasivo</v>
      </c>
      <c r="F35" s="10">
        <v>2</v>
      </c>
      <c r="G35" s="10">
        <v>4</v>
      </c>
      <c r="H35" s="2" t="s">
        <v>190</v>
      </c>
      <c r="I35" s="2" t="s">
        <v>137</v>
      </c>
      <c r="J35" s="2" t="s">
        <v>191</v>
      </c>
    </row>
    <row r="36" spans="1:10" ht="27.75" customHeight="1" x14ac:dyDescent="0.3">
      <c r="A36" s="10" t="s">
        <v>231</v>
      </c>
      <c r="B36" s="16">
        <v>46040</v>
      </c>
      <c r="C36" s="10" t="s">
        <v>105</v>
      </c>
      <c r="D36" s="10">
        <v>10</v>
      </c>
      <c r="E36" s="12" t="str">
        <f t="shared" si="0"/>
        <v>Promotor</v>
      </c>
      <c r="F36" s="10">
        <v>4</v>
      </c>
      <c r="G36" s="10">
        <v>3</v>
      </c>
      <c r="H36" s="2" t="s">
        <v>184</v>
      </c>
      <c r="I36" s="2" t="s">
        <v>100</v>
      </c>
      <c r="J36" s="2" t="s">
        <v>181</v>
      </c>
    </row>
    <row r="37" spans="1:10" ht="27.75" customHeight="1" x14ac:dyDescent="0.3">
      <c r="A37" s="10" t="s">
        <v>232</v>
      </c>
      <c r="B37" s="16">
        <v>46048</v>
      </c>
      <c r="C37" s="10" t="s">
        <v>179</v>
      </c>
      <c r="D37" s="10">
        <v>10</v>
      </c>
      <c r="E37" s="12" t="str">
        <f t="shared" si="0"/>
        <v>Promotor</v>
      </c>
      <c r="F37" s="10">
        <v>4</v>
      </c>
      <c r="G37" s="10">
        <v>5</v>
      </c>
      <c r="H37" s="2" t="s">
        <v>184</v>
      </c>
      <c r="I37" s="2" t="s">
        <v>100</v>
      </c>
      <c r="J37" s="2" t="s">
        <v>200</v>
      </c>
    </row>
    <row r="38" spans="1:10" ht="27.75" customHeight="1" x14ac:dyDescent="0.3">
      <c r="A38" s="10" t="s">
        <v>233</v>
      </c>
      <c r="B38" s="16">
        <v>46046</v>
      </c>
      <c r="C38" s="10" t="s">
        <v>183</v>
      </c>
      <c r="D38" s="10">
        <v>0</v>
      </c>
      <c r="E38" s="14" t="str">
        <f t="shared" ref="E38:E55" si="1">IF(D38&gt;=9,"Promotor",IF(D38&gt;=7,"Pasivo","Detractor"))</f>
        <v>Detractor</v>
      </c>
      <c r="F38" s="10">
        <v>2</v>
      </c>
      <c r="G38" s="10">
        <v>3</v>
      </c>
      <c r="H38" s="2" t="s">
        <v>187</v>
      </c>
      <c r="I38" s="2" t="s">
        <v>193</v>
      </c>
      <c r="J38" s="2" t="s">
        <v>194</v>
      </c>
    </row>
    <row r="39" spans="1:10" ht="27.75" customHeight="1" x14ac:dyDescent="0.3">
      <c r="A39" s="10" t="s">
        <v>234</v>
      </c>
      <c r="B39" s="16">
        <v>46059</v>
      </c>
      <c r="C39" s="10" t="s">
        <v>183</v>
      </c>
      <c r="D39" s="10">
        <v>9</v>
      </c>
      <c r="E39" s="12" t="str">
        <f t="shared" si="1"/>
        <v>Promotor</v>
      </c>
      <c r="F39" s="10">
        <v>5</v>
      </c>
      <c r="G39" s="10">
        <v>5</v>
      </c>
      <c r="H39" s="2" t="s">
        <v>198</v>
      </c>
      <c r="I39" s="2" t="s">
        <v>193</v>
      </c>
      <c r="J39" s="2" t="s">
        <v>225</v>
      </c>
    </row>
    <row r="40" spans="1:10" ht="27.75" customHeight="1" x14ac:dyDescent="0.3">
      <c r="A40" s="10" t="s">
        <v>235</v>
      </c>
      <c r="B40" s="16">
        <v>46070</v>
      </c>
      <c r="C40" s="10" t="s">
        <v>179</v>
      </c>
      <c r="D40" s="10">
        <v>10</v>
      </c>
      <c r="E40" s="12" t="str">
        <f t="shared" si="1"/>
        <v>Promotor</v>
      </c>
      <c r="F40" s="10">
        <v>4</v>
      </c>
      <c r="G40" s="10">
        <v>1</v>
      </c>
      <c r="H40" s="2" t="s">
        <v>198</v>
      </c>
      <c r="I40" s="2" t="s">
        <v>115</v>
      </c>
      <c r="J40" s="2" t="s">
        <v>188</v>
      </c>
    </row>
    <row r="41" spans="1:10" ht="27.75" customHeight="1" x14ac:dyDescent="0.3">
      <c r="A41" s="10" t="s">
        <v>236</v>
      </c>
      <c r="B41" s="16">
        <v>46065</v>
      </c>
      <c r="C41" s="10" t="s">
        <v>97</v>
      </c>
      <c r="D41" s="10">
        <v>9</v>
      </c>
      <c r="E41" s="12" t="str">
        <f t="shared" si="1"/>
        <v>Promotor</v>
      </c>
      <c r="F41" s="10">
        <v>5</v>
      </c>
      <c r="G41" s="10">
        <v>4</v>
      </c>
      <c r="H41" s="2" t="s">
        <v>211</v>
      </c>
      <c r="I41" s="2" t="s">
        <v>100</v>
      </c>
      <c r="J41" s="2" t="s">
        <v>196</v>
      </c>
    </row>
    <row r="42" spans="1:10" ht="27.75" customHeight="1" x14ac:dyDescent="0.3">
      <c r="A42" s="10" t="s">
        <v>237</v>
      </c>
      <c r="B42" s="16">
        <v>46068</v>
      </c>
      <c r="C42" s="10" t="s">
        <v>97</v>
      </c>
      <c r="D42" s="10">
        <v>9</v>
      </c>
      <c r="E42" s="12" t="str">
        <f t="shared" si="1"/>
        <v>Promotor</v>
      </c>
      <c r="F42" s="10">
        <v>5</v>
      </c>
      <c r="G42" s="10">
        <v>4</v>
      </c>
      <c r="H42" s="2" t="s">
        <v>187</v>
      </c>
      <c r="I42" s="2" t="s">
        <v>100</v>
      </c>
      <c r="J42" s="2" t="s">
        <v>200</v>
      </c>
    </row>
    <row r="43" spans="1:10" ht="27.75" customHeight="1" x14ac:dyDescent="0.3">
      <c r="A43" s="10" t="s">
        <v>238</v>
      </c>
      <c r="B43" s="16">
        <v>46040</v>
      </c>
      <c r="C43" s="10" t="s">
        <v>183</v>
      </c>
      <c r="D43" s="10">
        <v>9</v>
      </c>
      <c r="E43" s="12" t="str">
        <f t="shared" si="1"/>
        <v>Promotor</v>
      </c>
      <c r="F43" s="10">
        <v>5</v>
      </c>
      <c r="G43" s="10">
        <v>5</v>
      </c>
      <c r="H43" s="2" t="s">
        <v>187</v>
      </c>
      <c r="I43" s="2" t="s">
        <v>100</v>
      </c>
      <c r="J43" s="2" t="s">
        <v>196</v>
      </c>
    </row>
    <row r="44" spans="1:10" ht="27.75" customHeight="1" x14ac:dyDescent="0.3">
      <c r="A44" s="10" t="s">
        <v>239</v>
      </c>
      <c r="B44" s="16">
        <v>46059</v>
      </c>
      <c r="C44" s="10" t="s">
        <v>105</v>
      </c>
      <c r="D44" s="10">
        <v>9</v>
      </c>
      <c r="E44" s="12" t="str">
        <f t="shared" si="1"/>
        <v>Promotor</v>
      </c>
      <c r="F44" s="10">
        <v>5</v>
      </c>
      <c r="G44" s="10">
        <v>3</v>
      </c>
      <c r="H44" s="2" t="s">
        <v>184</v>
      </c>
      <c r="I44" s="2" t="s">
        <v>193</v>
      </c>
      <c r="J44" s="2" t="s">
        <v>205</v>
      </c>
    </row>
    <row r="45" spans="1:10" ht="27.75" customHeight="1" x14ac:dyDescent="0.3">
      <c r="A45" s="10" t="s">
        <v>240</v>
      </c>
      <c r="B45" s="16">
        <v>46035</v>
      </c>
      <c r="C45" s="10" t="s">
        <v>179</v>
      </c>
      <c r="D45" s="10">
        <v>9</v>
      </c>
      <c r="E45" s="12" t="str">
        <f t="shared" si="1"/>
        <v>Promotor</v>
      </c>
      <c r="F45" s="10">
        <v>5</v>
      </c>
      <c r="G45" s="10">
        <v>3</v>
      </c>
      <c r="H45" s="2" t="s">
        <v>184</v>
      </c>
      <c r="I45" s="2" t="s">
        <v>193</v>
      </c>
      <c r="J45" s="2" t="s">
        <v>194</v>
      </c>
    </row>
    <row r="46" spans="1:10" ht="27.75" customHeight="1" x14ac:dyDescent="0.3">
      <c r="A46" s="10" t="s">
        <v>241</v>
      </c>
      <c r="B46" s="16">
        <v>46042</v>
      </c>
      <c r="C46" s="10" t="s">
        <v>105</v>
      </c>
      <c r="D46" s="10">
        <v>10</v>
      </c>
      <c r="E46" s="12" t="str">
        <f t="shared" si="1"/>
        <v>Promotor</v>
      </c>
      <c r="F46" s="10">
        <v>5</v>
      </c>
      <c r="G46" s="10">
        <v>4</v>
      </c>
      <c r="H46" s="2" t="s">
        <v>187</v>
      </c>
      <c r="I46" s="2" t="s">
        <v>100</v>
      </c>
      <c r="J46" s="2" t="s">
        <v>181</v>
      </c>
    </row>
    <row r="47" spans="1:10" ht="27.75" customHeight="1" x14ac:dyDescent="0.3">
      <c r="A47" s="10" t="s">
        <v>242</v>
      </c>
      <c r="B47" s="16">
        <v>46063</v>
      </c>
      <c r="C47" s="10" t="s">
        <v>179</v>
      </c>
      <c r="D47" s="10">
        <v>8</v>
      </c>
      <c r="E47" s="13" t="str">
        <f t="shared" si="1"/>
        <v>Pasivo</v>
      </c>
      <c r="F47" s="10">
        <v>4</v>
      </c>
      <c r="G47" s="10">
        <v>2</v>
      </c>
      <c r="H47" s="2" t="s">
        <v>211</v>
      </c>
      <c r="I47" s="2" t="s">
        <v>131</v>
      </c>
      <c r="J47" s="2" t="s">
        <v>219</v>
      </c>
    </row>
    <row r="48" spans="1:10" ht="27.75" customHeight="1" x14ac:dyDescent="0.3">
      <c r="A48" s="10" t="s">
        <v>243</v>
      </c>
      <c r="B48" s="16">
        <v>46037</v>
      </c>
      <c r="C48" s="10" t="s">
        <v>183</v>
      </c>
      <c r="D48" s="10">
        <v>9</v>
      </c>
      <c r="E48" s="12" t="str">
        <f t="shared" si="1"/>
        <v>Promotor</v>
      </c>
      <c r="F48" s="10">
        <v>4</v>
      </c>
      <c r="G48" s="10">
        <v>3</v>
      </c>
      <c r="H48" s="2" t="s">
        <v>190</v>
      </c>
      <c r="I48" s="2" t="s">
        <v>193</v>
      </c>
      <c r="J48" s="2" t="s">
        <v>225</v>
      </c>
    </row>
    <row r="49" spans="1:10" ht="27.75" customHeight="1" x14ac:dyDescent="0.3">
      <c r="A49" s="10" t="s">
        <v>244</v>
      </c>
      <c r="B49" s="16">
        <v>46057</v>
      </c>
      <c r="C49" s="10" t="s">
        <v>179</v>
      </c>
      <c r="D49" s="10">
        <v>10</v>
      </c>
      <c r="E49" s="12" t="str">
        <f t="shared" si="1"/>
        <v>Promotor</v>
      </c>
      <c r="F49" s="10">
        <v>4</v>
      </c>
      <c r="G49" s="10">
        <v>4</v>
      </c>
      <c r="H49" s="2" t="s">
        <v>187</v>
      </c>
      <c r="I49" s="2" t="s">
        <v>193</v>
      </c>
      <c r="J49" s="2" t="s">
        <v>205</v>
      </c>
    </row>
    <row r="50" spans="1:10" ht="27.75" customHeight="1" x14ac:dyDescent="0.3">
      <c r="A50" s="10" t="s">
        <v>245</v>
      </c>
      <c r="B50" s="16">
        <v>46028</v>
      </c>
      <c r="C50" s="10" t="s">
        <v>179</v>
      </c>
      <c r="D50" s="10">
        <v>10</v>
      </c>
      <c r="E50" s="12" t="str">
        <f t="shared" si="1"/>
        <v>Promotor</v>
      </c>
      <c r="F50" s="10">
        <v>4</v>
      </c>
      <c r="G50" s="10">
        <v>5</v>
      </c>
      <c r="H50" s="2" t="s">
        <v>198</v>
      </c>
      <c r="I50" s="2" t="s">
        <v>100</v>
      </c>
      <c r="J50" s="2" t="s">
        <v>196</v>
      </c>
    </row>
    <row r="51" spans="1:10" ht="27.75" customHeight="1" x14ac:dyDescent="0.3">
      <c r="A51" s="10" t="s">
        <v>246</v>
      </c>
      <c r="B51" s="16">
        <v>46052</v>
      </c>
      <c r="C51" s="10" t="s">
        <v>105</v>
      </c>
      <c r="D51" s="10">
        <v>7</v>
      </c>
      <c r="E51" s="13" t="str">
        <f t="shared" si="1"/>
        <v>Pasivo</v>
      </c>
      <c r="F51" s="10">
        <v>3</v>
      </c>
      <c r="G51" s="10">
        <v>4</v>
      </c>
      <c r="H51" s="2" t="s">
        <v>198</v>
      </c>
      <c r="I51" s="2" t="s">
        <v>137</v>
      </c>
      <c r="J51" s="2" t="s">
        <v>214</v>
      </c>
    </row>
    <row r="52" spans="1:10" ht="27.75" customHeight="1" x14ac:dyDescent="0.3">
      <c r="A52" s="10" t="s">
        <v>247</v>
      </c>
      <c r="B52" s="16">
        <v>46063</v>
      </c>
      <c r="C52" s="10" t="s">
        <v>97</v>
      </c>
      <c r="D52" s="10">
        <v>10</v>
      </c>
      <c r="E52" s="12" t="str">
        <f t="shared" si="1"/>
        <v>Promotor</v>
      </c>
      <c r="F52" s="10">
        <v>5</v>
      </c>
      <c r="G52" s="10">
        <v>5</v>
      </c>
      <c r="H52" s="2" t="s">
        <v>198</v>
      </c>
      <c r="I52" s="2" t="s">
        <v>100</v>
      </c>
      <c r="J52" s="2" t="s">
        <v>181</v>
      </c>
    </row>
    <row r="53" spans="1:10" ht="27.75" customHeight="1" x14ac:dyDescent="0.3">
      <c r="A53" s="10" t="s">
        <v>248</v>
      </c>
      <c r="B53" s="16">
        <v>46062</v>
      </c>
      <c r="C53" s="10" t="s">
        <v>179</v>
      </c>
      <c r="D53" s="10">
        <v>9</v>
      </c>
      <c r="E53" s="12" t="str">
        <f t="shared" si="1"/>
        <v>Promotor</v>
      </c>
      <c r="F53" s="10">
        <v>4</v>
      </c>
      <c r="G53" s="10">
        <v>3</v>
      </c>
      <c r="H53" s="2" t="s">
        <v>211</v>
      </c>
      <c r="I53" s="2" t="s">
        <v>193</v>
      </c>
      <c r="J53" s="2" t="s">
        <v>205</v>
      </c>
    </row>
    <row r="54" spans="1:10" ht="27.75" customHeight="1" x14ac:dyDescent="0.3">
      <c r="A54" s="10" t="s">
        <v>249</v>
      </c>
      <c r="B54" s="16">
        <v>46044</v>
      </c>
      <c r="C54" s="10" t="s">
        <v>105</v>
      </c>
      <c r="D54" s="10">
        <v>10</v>
      </c>
      <c r="E54" s="12" t="str">
        <f t="shared" si="1"/>
        <v>Promotor</v>
      </c>
      <c r="F54" s="10">
        <v>4</v>
      </c>
      <c r="G54" s="10">
        <v>5</v>
      </c>
      <c r="H54" s="2" t="s">
        <v>198</v>
      </c>
      <c r="I54" s="2" t="s">
        <v>100</v>
      </c>
      <c r="J54" s="2" t="s">
        <v>196</v>
      </c>
    </row>
    <row r="55" spans="1:10" ht="27.75" customHeight="1" x14ac:dyDescent="0.3">
      <c r="A55" s="10" t="s">
        <v>250</v>
      </c>
      <c r="B55" s="16">
        <v>46065</v>
      </c>
      <c r="C55" s="10" t="s">
        <v>179</v>
      </c>
      <c r="D55" s="10">
        <v>4</v>
      </c>
      <c r="E55" s="14" t="str">
        <f t="shared" si="1"/>
        <v>Detractor</v>
      </c>
      <c r="F55" s="10">
        <v>2</v>
      </c>
      <c r="G55" s="10">
        <v>2</v>
      </c>
      <c r="H55" s="2" t="s">
        <v>190</v>
      </c>
      <c r="I55" s="2" t="s">
        <v>193</v>
      </c>
      <c r="J55" s="2" t="s">
        <v>225</v>
      </c>
    </row>
  </sheetData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showGridLines="0" topLeftCell="A31" zoomScaleNormal="100" workbookViewId="0">
      <selection sqref="A1:F1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32" customWidth="1"/>
    <col min="4" max="4" width="38" customWidth="1"/>
    <col min="5" max="5" width="18" customWidth="1"/>
    <col min="6" max="6" width="34" customWidth="1"/>
  </cols>
  <sheetData>
    <row r="1" spans="1:6" ht="25.5" customHeight="1" x14ac:dyDescent="0.3">
      <c r="A1" s="37" t="s">
        <v>251</v>
      </c>
      <c r="B1" s="37"/>
      <c r="C1" s="37"/>
      <c r="D1" s="37"/>
      <c r="E1" s="37"/>
      <c r="F1" s="37"/>
    </row>
    <row r="2" spans="1:6" ht="15.75" customHeight="1" x14ac:dyDescent="0.3">
      <c r="A2" s="38" t="s">
        <v>252</v>
      </c>
      <c r="B2" s="38"/>
      <c r="C2" s="38"/>
      <c r="D2" s="38"/>
      <c r="E2" s="38"/>
      <c r="F2" s="38"/>
    </row>
    <row r="3" spans="1:6" ht="15" customHeight="1" x14ac:dyDescent="0.3">
      <c r="A3" s="46" t="s">
        <v>253</v>
      </c>
      <c r="B3" s="46"/>
      <c r="C3" s="46"/>
      <c r="D3" s="46"/>
      <c r="E3" s="46"/>
      <c r="F3" s="46"/>
    </row>
    <row r="4" spans="1:6" ht="15.6" x14ac:dyDescent="0.3">
      <c r="A4" s="4" t="s">
        <v>254</v>
      </c>
    </row>
    <row r="6" spans="1:6" ht="27.6" x14ac:dyDescent="0.3">
      <c r="A6" s="1" t="s">
        <v>255</v>
      </c>
      <c r="B6" s="1" t="s">
        <v>256</v>
      </c>
      <c r="C6" s="1" t="s">
        <v>257</v>
      </c>
      <c r="D6" s="1" t="s">
        <v>258</v>
      </c>
    </row>
    <row r="7" spans="1:6" ht="78" customHeight="1" x14ac:dyDescent="0.3">
      <c r="A7" s="2" t="s">
        <v>259</v>
      </c>
      <c r="B7" s="17">
        <f>COUNTA('Reseñas y Encuesta'!H5:H17)</f>
        <v>13</v>
      </c>
      <c r="C7" s="3" t="s">
        <v>260</v>
      </c>
      <c r="D7" s="2" t="s">
        <v>261</v>
      </c>
    </row>
    <row r="8" spans="1:6" ht="78" customHeight="1" x14ac:dyDescent="0.3">
      <c r="A8" s="2" t="s">
        <v>262</v>
      </c>
      <c r="B8" s="18">
        <f>AVERAGE('Reseñas y Encuesta'!D5:D17)</f>
        <v>3.5454545454545454</v>
      </c>
      <c r="C8" s="3" t="s">
        <v>263</v>
      </c>
      <c r="D8" s="2" t="str">
        <f>IF(B8&gt;=4.5,"Excelente: la percepción general es muy positiva.",IF(B8&gt;=4,"Muy buena, aunque con margen de mejora.",IF(B8&gt;=3,"Regular: hay señales de insatisfacción relevantes.","Crítica: predominan las experiencias negativas."))) &amp; "  Resultado actual: " &amp; TEXT(B8,"0.0") &amp; "/5."</f>
        <v>Regular: hay señales de insatisfacción relevantes.  Resultado actual: 3.5/5.</v>
      </c>
    </row>
    <row r="9" spans="1:6" ht="78" customHeight="1" x14ac:dyDescent="0.3">
      <c r="A9" s="2" t="s">
        <v>264</v>
      </c>
      <c r="B9" s="19">
        <f>COUNTIF('Reseñas y Encuesta'!H5:H17,"Positivo")/COUNTA('Reseñas y Encuesta'!H5:H17)</f>
        <v>0.38461538461538464</v>
      </c>
      <c r="C9" s="3" t="s">
        <v>265</v>
      </c>
      <c r="D9" s="2" t="str">
        <f>IF(B9&gt;=0.6,"Alta: predominan las experiencias positivas.",IF(B9&gt;=0.4,"Moderada.","Baja: conviene reforzar la comunicación de los puntos fuertes.")) &amp; "  Resultado actual: " &amp; TEXT(B9,"0%")</f>
        <v>Baja: conviene reforzar la comunicación de los puntos fuertes.  Resultado actual: 38%</v>
      </c>
    </row>
    <row r="10" spans="1:6" ht="78" customHeight="1" x14ac:dyDescent="0.3">
      <c r="A10" s="2" t="s">
        <v>266</v>
      </c>
      <c r="B10" s="19">
        <f>COUNTIF('Reseñas y Encuesta'!H5:H17,"Negativo")/COUNTA('Reseñas y Encuesta'!H5:H17)</f>
        <v>0.30769230769230771</v>
      </c>
      <c r="C10" s="3" t="s">
        <v>267</v>
      </c>
      <c r="D10" s="2" t="str">
        <f>IF(B10&gt;=0.5,"Alta: más de la mitad de la muestra es negativa (recordar que son reseñas construidas para ilustrar cada hallazgo, no una muestra real).",IF(B10&gt;=0.25,"Moderada: hay puntos de fricción a atender.","Baja.")) &amp; "  Resultado actual: " &amp; TEXT(B10,"0%")</f>
        <v>Moderada: hay puntos de fricción a atender.  Resultado actual: 31%</v>
      </c>
    </row>
    <row r="11" spans="1:6" ht="78" customHeight="1" x14ac:dyDescent="0.3">
      <c r="A11" s="2" t="s">
        <v>268</v>
      </c>
      <c r="B11" s="19">
        <f>COUNTIF('Reseñas y Encuesta'!H5:H17,"Mixto")/COUNTA('Reseñas y Encuesta'!H5:H17)</f>
        <v>0.30769230769230771</v>
      </c>
      <c r="C11" s="3" t="s">
        <v>269</v>
      </c>
      <c r="D11" s="2" t="str">
        <f>IF(B11&gt;=0.2,"Relevante: conviene revisar qué puntos de contacto generan esa ambivalencia.","Poco relevante.") &amp; "  Resultado actual: " &amp; TEXT(B11,"0%")</f>
        <v>Relevante: conviene revisar qué puntos de contacto generan esa ambivalencia.  Resultado actual: 31%</v>
      </c>
    </row>
    <row r="13" spans="1:6" x14ac:dyDescent="0.3">
      <c r="A13" s="5" t="s">
        <v>270</v>
      </c>
    </row>
    <row r="14" spans="1:6" ht="27.6" x14ac:dyDescent="0.3">
      <c r="A14" s="1" t="s">
        <v>271</v>
      </c>
      <c r="B14" s="1" t="s">
        <v>272</v>
      </c>
      <c r="C14" s="1" t="s">
        <v>273</v>
      </c>
      <c r="D14" s="1" t="s">
        <v>274</v>
      </c>
      <c r="E14" s="1" t="s">
        <v>275</v>
      </c>
      <c r="F14" s="1" t="s">
        <v>276</v>
      </c>
    </row>
    <row r="15" spans="1:6" ht="60" customHeight="1" x14ac:dyDescent="0.3">
      <c r="A15" s="2" t="s">
        <v>100</v>
      </c>
      <c r="B15" s="10">
        <f>COUNTIF('Reseñas y Encuesta'!G5:G17,A15)</f>
        <v>5</v>
      </c>
      <c r="C15" s="10">
        <f>COUNTIF('Respuestas Encuesta'!I6:I55,A15)</f>
        <v>19</v>
      </c>
      <c r="D15" s="17">
        <f>B15+C15</f>
        <v>24</v>
      </c>
      <c r="E15" s="20">
        <f>D15/63</f>
        <v>0.38095238095238093</v>
      </c>
      <c r="F15" s="3" t="s">
        <v>277</v>
      </c>
    </row>
    <row r="16" spans="1:6" ht="60" customHeight="1" x14ac:dyDescent="0.3">
      <c r="A16" s="2" t="s">
        <v>115</v>
      </c>
      <c r="B16" s="10">
        <f>COUNTIF('Reseñas y Encuesta'!G5:G17,A16)</f>
        <v>2</v>
      </c>
      <c r="C16" s="10">
        <f>COUNTIF('Respuestas Encuesta'!I6:I55,A16)</f>
        <v>5</v>
      </c>
      <c r="D16" s="17">
        <f>B16+C16</f>
        <v>7</v>
      </c>
      <c r="E16" s="20">
        <f>D16/63</f>
        <v>0.1111111111111111</v>
      </c>
      <c r="F16" s="3" t="s">
        <v>278</v>
      </c>
    </row>
    <row r="17" spans="1:6" ht="60" customHeight="1" x14ac:dyDescent="0.3">
      <c r="A17" s="2" t="s">
        <v>124</v>
      </c>
      <c r="B17" s="10">
        <f>COUNTIF('Reseñas y Encuesta'!G5:G17,A17)</f>
        <v>2</v>
      </c>
      <c r="C17" s="10">
        <f>COUNTIF('Respuestas Encuesta'!I6:I55,A17)</f>
        <v>2</v>
      </c>
      <c r="D17" s="17">
        <f>B17+C17</f>
        <v>4</v>
      </c>
      <c r="E17" s="20">
        <f>D17/63</f>
        <v>6.3492063492063489E-2</v>
      </c>
      <c r="F17" s="3" t="s">
        <v>279</v>
      </c>
    </row>
    <row r="18" spans="1:6" ht="60" customHeight="1" x14ac:dyDescent="0.3">
      <c r="A18" s="2" t="s">
        <v>131</v>
      </c>
      <c r="B18" s="10">
        <f>COUNTIF('Reseñas y Encuesta'!G5:G17,A18)</f>
        <v>2</v>
      </c>
      <c r="C18" s="10">
        <f>COUNTIF('Respuestas Encuesta'!I6:I55,A18)</f>
        <v>3</v>
      </c>
      <c r="D18" s="17">
        <f>B18+C18</f>
        <v>5</v>
      </c>
      <c r="E18" s="20">
        <f>D18/63</f>
        <v>7.9365079365079361E-2</v>
      </c>
      <c r="F18" s="3" t="s">
        <v>280</v>
      </c>
    </row>
    <row r="19" spans="1:6" ht="60" customHeight="1" x14ac:dyDescent="0.3">
      <c r="A19" s="2" t="s">
        <v>137</v>
      </c>
      <c r="B19" s="10">
        <f>COUNTIF('Reseñas y Encuesta'!G5:G17,A19)</f>
        <v>2</v>
      </c>
      <c r="C19" s="10">
        <f>COUNTIF('Respuestas Encuesta'!I6:I55,A19)</f>
        <v>8</v>
      </c>
      <c r="D19" s="17">
        <f>B19+C19</f>
        <v>10</v>
      </c>
      <c r="E19" s="20">
        <f>D19/63</f>
        <v>0.15873015873015872</v>
      </c>
      <c r="F19" s="3" t="s">
        <v>281</v>
      </c>
    </row>
    <row r="22" spans="1:6" ht="15.6" x14ac:dyDescent="0.3">
      <c r="A22" s="4" t="s">
        <v>282</v>
      </c>
    </row>
    <row r="23" spans="1:6" ht="30" customHeight="1" x14ac:dyDescent="0.3">
      <c r="A23" s="39" t="s">
        <v>283</v>
      </c>
      <c r="B23" s="39"/>
      <c r="C23" s="39"/>
      <c r="D23" s="39"/>
      <c r="E23" s="39"/>
      <c r="F23" s="39"/>
    </row>
    <row r="25" spans="1:6" ht="27.6" x14ac:dyDescent="0.3">
      <c r="A25" s="1" t="s">
        <v>284</v>
      </c>
      <c r="B25" s="1" t="s">
        <v>285</v>
      </c>
      <c r="C25" s="1" t="s">
        <v>286</v>
      </c>
      <c r="D25" s="1" t="s">
        <v>287</v>
      </c>
    </row>
    <row r="26" spans="1:6" ht="49.5" customHeight="1" x14ac:dyDescent="0.3">
      <c r="A26" s="2" t="s">
        <v>288</v>
      </c>
      <c r="B26" s="10">
        <f>COUNTIF('Respuestas Encuesta'!E6:E55,"Promotor")</f>
        <v>30</v>
      </c>
      <c r="C26" s="20">
        <f>IFERROR(B26/SUM($B$26:$B$28),0)</f>
        <v>0.6</v>
      </c>
      <c r="D26" s="3" t="s">
        <v>289</v>
      </c>
    </row>
    <row r="27" spans="1:6" ht="49.5" customHeight="1" x14ac:dyDescent="0.3">
      <c r="A27" s="2" t="s">
        <v>290</v>
      </c>
      <c r="B27" s="10">
        <f>COUNTIF('Respuestas Encuesta'!E6:E55,"Pasivo")</f>
        <v>12</v>
      </c>
      <c r="C27" s="20">
        <f>IFERROR(B27/SUM($B$26:$B$28),0)</f>
        <v>0.24</v>
      </c>
      <c r="D27" s="3" t="s">
        <v>291</v>
      </c>
    </row>
    <row r="28" spans="1:6" ht="49.5" customHeight="1" x14ac:dyDescent="0.3">
      <c r="A28" s="2" t="s">
        <v>292</v>
      </c>
      <c r="B28" s="10">
        <f>COUNTIF('Respuestas Encuesta'!E6:E55,"Detractor")</f>
        <v>8</v>
      </c>
      <c r="C28" s="20">
        <f>IFERROR(B28/SUM($B$26:$B$28),0)</f>
        <v>0.16</v>
      </c>
      <c r="D28" s="3" t="s">
        <v>293</v>
      </c>
    </row>
    <row r="29" spans="1:6" ht="22.35" customHeight="1" x14ac:dyDescent="0.3">
      <c r="A29" s="21" t="s">
        <v>294</v>
      </c>
      <c r="B29" s="17">
        <f>SUM(B26:B28)</f>
        <v>50</v>
      </c>
      <c r="C29" s="22"/>
      <c r="D29" s="48" t="s">
        <v>295</v>
      </c>
      <c r="E29" s="48"/>
      <c r="F29" s="48"/>
    </row>
    <row r="31" spans="1:6" ht="54.75" customHeight="1" x14ac:dyDescent="0.3">
      <c r="A31" s="21" t="s">
        <v>296</v>
      </c>
      <c r="B31" s="23">
        <f>IF(B29=0,"Cargar datos",(B26-B28)/B29)</f>
        <v>0.44</v>
      </c>
      <c r="C31" s="47" t="str">
        <f>IF(ISNUMBER(B31),IF(B31&gt;=0.7,"Excelente (nivel de clase mundial).",IF(B31&gt;=0.3,"Muy bueno.",IF(B31&gt;=0,"Aceptable, con oportunidades de mejora.","Crítico: predominan los detractores."))) &amp; "  Resultado actual: " &amp; TEXT(B31,"0%") &amp; "  |  Escala de referencia: menor a 0% necesita mejorar · 0%-30% bueno · 30%-70% muy bueno · mayor a 70% excelente.","Cargar los datos de la encuesta para calcular el NPS.")</f>
        <v>Muy bueno.  Resultado actual: 44%  |  Escala de referencia: menor a 0% necesita mejorar · 0%-30% bueno · 30%-70% muy bueno · mayor a 70% excelente.</v>
      </c>
      <c r="D31" s="47"/>
      <c r="E31" s="47"/>
      <c r="F31" s="47"/>
    </row>
    <row r="33" spans="1:6" ht="15.6" x14ac:dyDescent="0.3">
      <c r="A33" s="4" t="s">
        <v>297</v>
      </c>
    </row>
    <row r="34" spans="1:6" ht="30" customHeight="1" x14ac:dyDescent="0.3">
      <c r="A34" s="39" t="s">
        <v>298</v>
      </c>
      <c r="B34" s="39"/>
      <c r="C34" s="39"/>
      <c r="D34" s="39"/>
      <c r="E34" s="39"/>
      <c r="F34" s="39"/>
    </row>
    <row r="36" spans="1:6" ht="27.6" x14ac:dyDescent="0.3">
      <c r="A36" s="1" t="s">
        <v>299</v>
      </c>
      <c r="B36" s="1" t="s">
        <v>285</v>
      </c>
    </row>
    <row r="37" spans="1:6" x14ac:dyDescent="0.3">
      <c r="A37" s="10">
        <v>5</v>
      </c>
      <c r="B37" s="10">
        <f>COUNTIF('Respuestas Encuesta'!F6:F55,A37)</f>
        <v>13</v>
      </c>
    </row>
    <row r="38" spans="1:6" x14ac:dyDescent="0.3">
      <c r="A38" s="10">
        <v>4</v>
      </c>
      <c r="B38" s="10">
        <f>COUNTIF('Respuestas Encuesta'!F6:F55,A38)</f>
        <v>22</v>
      </c>
    </row>
    <row r="39" spans="1:6" x14ac:dyDescent="0.3">
      <c r="A39" s="10">
        <v>3</v>
      </c>
      <c r="B39" s="10">
        <f>COUNTIF('Respuestas Encuesta'!F6:F55,A39)</f>
        <v>7</v>
      </c>
    </row>
    <row r="40" spans="1:6" x14ac:dyDescent="0.3">
      <c r="A40" s="10">
        <v>2</v>
      </c>
      <c r="B40" s="10">
        <f>COUNTIF('Respuestas Encuesta'!F6:F55,A40)</f>
        <v>6</v>
      </c>
    </row>
    <row r="41" spans="1:6" x14ac:dyDescent="0.3">
      <c r="A41" s="10">
        <v>1</v>
      </c>
      <c r="B41" s="10">
        <f>COUNTIF('Respuestas Encuesta'!F6:F55,A41)</f>
        <v>2</v>
      </c>
    </row>
    <row r="42" spans="1:6" ht="54.75" customHeight="1" x14ac:dyDescent="0.3">
      <c r="A42" s="21" t="s">
        <v>300</v>
      </c>
      <c r="B42" s="23">
        <f>IF(SUM(B37:B41)=0,"Cargar datos",(B37+B38)/SUM(B37:B41))</f>
        <v>0.7</v>
      </c>
      <c r="C42" s="47" t="str">
        <f>IF(ISNUMBER(B42),IF(B42&gt;=0.8,"Alto: en línea o por encima del benchmark habitual de 80% en hotelería.",IF(B42&gt;=0.6,"Aceptable, aunque por debajo del benchmark habitual de 80%.","Bajo: conviene priorizar acciones correctivas.")) &amp; "  Resultado actual: " &amp; TEXT(B42,"0%"),"Cargar los datos de la encuesta para calcular el CSAT.")</f>
        <v>Aceptable, aunque por debajo del benchmark habitual de 80%.  Resultado actual: 70%</v>
      </c>
      <c r="D42" s="47"/>
      <c r="E42" s="47"/>
      <c r="F42" s="47"/>
    </row>
  </sheetData>
  <mergeCells count="8">
    <mergeCell ref="C31:F31"/>
    <mergeCell ref="A34:F34"/>
    <mergeCell ref="C42:F42"/>
    <mergeCell ref="A1:F1"/>
    <mergeCell ref="A2:F2"/>
    <mergeCell ref="A3:F3"/>
    <mergeCell ref="A23:F23"/>
    <mergeCell ref="D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showGridLines="0" zoomScaleNormal="100" workbookViewId="0">
      <pane xSplit="1" ySplit="6" topLeftCell="B18" activePane="bottomRight" state="frozen"/>
      <selection pane="topRight" activeCell="B1" sqref="B1"/>
      <selection pane="bottomLeft" activeCell="A7" sqref="A7"/>
      <selection pane="bottomRight" sqref="A1:K1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37" t="s">
        <v>301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.75" customHeight="1" x14ac:dyDescent="0.3">
      <c r="A2" s="38" t="s">
        <v>302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4" t="s">
        <v>303</v>
      </c>
      <c r="B4" s="50" t="s">
        <v>304</v>
      </c>
      <c r="C4" s="50"/>
      <c r="D4" s="51" t="s">
        <v>305</v>
      </c>
      <c r="E4" s="51"/>
      <c r="F4" s="52" t="s">
        <v>306</v>
      </c>
      <c r="G4" s="52"/>
      <c r="H4" s="53" t="s">
        <v>307</v>
      </c>
      <c r="I4" s="53"/>
      <c r="J4" s="54" t="s">
        <v>308</v>
      </c>
      <c r="K4" s="54"/>
    </row>
    <row r="5" spans="1:11" ht="39.75" customHeight="1" x14ac:dyDescent="0.3">
      <c r="A5" s="24" t="s">
        <v>309</v>
      </c>
      <c r="B5" s="25" t="s">
        <v>310</v>
      </c>
      <c r="C5" s="25" t="s">
        <v>311</v>
      </c>
      <c r="D5" s="26" t="s">
        <v>312</v>
      </c>
      <c r="E5" s="26" t="s">
        <v>313</v>
      </c>
      <c r="F5" s="27" t="s">
        <v>314</v>
      </c>
      <c r="G5" s="27" t="s">
        <v>315</v>
      </c>
      <c r="H5" s="28" t="s">
        <v>316</v>
      </c>
      <c r="I5" s="28" t="s">
        <v>317</v>
      </c>
      <c r="J5" s="29" t="s">
        <v>318</v>
      </c>
      <c r="K5" s="29" t="s">
        <v>319</v>
      </c>
    </row>
    <row r="6" spans="1:11" ht="54.75" customHeight="1" x14ac:dyDescent="0.3">
      <c r="A6" s="30" t="s">
        <v>320</v>
      </c>
      <c r="B6" s="49" t="s">
        <v>321</v>
      </c>
      <c r="C6" s="49"/>
      <c r="D6" s="49" t="s">
        <v>322</v>
      </c>
      <c r="E6" s="49"/>
      <c r="F6" s="49" t="s">
        <v>323</v>
      </c>
      <c r="G6" s="49"/>
      <c r="H6" s="49" t="s">
        <v>324</v>
      </c>
      <c r="I6" s="49"/>
      <c r="J6" s="49" t="s">
        <v>325</v>
      </c>
      <c r="K6" s="49"/>
    </row>
    <row r="7" spans="1:11" ht="94.5" customHeight="1" x14ac:dyDescent="0.3">
      <c r="A7" s="30" t="s">
        <v>326</v>
      </c>
      <c r="B7" s="2" t="s">
        <v>327</v>
      </c>
      <c r="C7" s="2" t="s">
        <v>328</v>
      </c>
      <c r="D7" s="2" t="s">
        <v>329</v>
      </c>
      <c r="E7" s="2" t="s">
        <v>330</v>
      </c>
      <c r="F7" s="2" t="s">
        <v>331</v>
      </c>
      <c r="G7" s="2" t="s">
        <v>332</v>
      </c>
      <c r="H7" s="2" t="s">
        <v>333</v>
      </c>
      <c r="I7" s="2" t="s">
        <v>334</v>
      </c>
      <c r="J7" s="2" t="s">
        <v>335</v>
      </c>
      <c r="K7" s="2" t="s">
        <v>336</v>
      </c>
    </row>
    <row r="8" spans="1:11" ht="94.5" customHeight="1" x14ac:dyDescent="0.3">
      <c r="A8" s="30" t="s">
        <v>337</v>
      </c>
      <c r="B8" s="2" t="s">
        <v>338</v>
      </c>
      <c r="C8" s="2" t="s">
        <v>339</v>
      </c>
      <c r="D8" s="2" t="s">
        <v>340</v>
      </c>
      <c r="E8" s="2" t="s">
        <v>341</v>
      </c>
      <c r="F8" s="2" t="s">
        <v>342</v>
      </c>
      <c r="G8" s="2" t="s">
        <v>343</v>
      </c>
      <c r="H8" s="2" t="s">
        <v>344</v>
      </c>
      <c r="I8" s="2" t="s">
        <v>345</v>
      </c>
      <c r="J8" s="2" t="s">
        <v>346</v>
      </c>
      <c r="K8" s="2" t="s">
        <v>347</v>
      </c>
    </row>
    <row r="9" spans="1:11" ht="94.5" customHeight="1" x14ac:dyDescent="0.3">
      <c r="A9" s="30" t="s">
        <v>348</v>
      </c>
      <c r="B9" s="2" t="s">
        <v>349</v>
      </c>
      <c r="C9" s="2" t="s">
        <v>350</v>
      </c>
      <c r="D9" s="2" t="s">
        <v>351</v>
      </c>
      <c r="E9" s="2" t="s">
        <v>352</v>
      </c>
      <c r="F9" s="2" t="s">
        <v>353</v>
      </c>
      <c r="G9" s="2" t="s">
        <v>354</v>
      </c>
      <c r="H9" s="2" t="s">
        <v>355</v>
      </c>
      <c r="I9" s="2" t="s">
        <v>356</v>
      </c>
      <c r="J9" s="2" t="s">
        <v>357</v>
      </c>
      <c r="K9" s="2" t="s">
        <v>358</v>
      </c>
    </row>
    <row r="10" spans="1:11" ht="94.5" customHeight="1" x14ac:dyDescent="0.3">
      <c r="A10" s="30" t="s">
        <v>359</v>
      </c>
      <c r="B10" s="31" t="s">
        <v>360</v>
      </c>
      <c r="C10" s="31" t="s">
        <v>361</v>
      </c>
      <c r="D10" s="31" t="s">
        <v>362</v>
      </c>
      <c r="E10" s="31" t="s">
        <v>363</v>
      </c>
      <c r="F10" s="31" t="s">
        <v>364</v>
      </c>
      <c r="G10" s="31" t="s">
        <v>365</v>
      </c>
      <c r="H10" s="31" t="s">
        <v>366</v>
      </c>
      <c r="I10" s="31" t="s">
        <v>367</v>
      </c>
      <c r="J10" s="31" t="s">
        <v>368</v>
      </c>
      <c r="K10" s="31" t="s">
        <v>369</v>
      </c>
    </row>
    <row r="11" spans="1:11" ht="94.5" customHeight="1" x14ac:dyDescent="0.3">
      <c r="A11" s="30" t="s">
        <v>370</v>
      </c>
      <c r="B11" s="32" t="s">
        <v>371</v>
      </c>
      <c r="C11" s="32" t="s">
        <v>372</v>
      </c>
      <c r="D11" s="32" t="s">
        <v>373</v>
      </c>
      <c r="E11" s="32" t="s">
        <v>374</v>
      </c>
      <c r="F11" s="32" t="s">
        <v>375</v>
      </c>
      <c r="G11" s="32" t="s">
        <v>376</v>
      </c>
      <c r="H11" s="32" t="s">
        <v>377</v>
      </c>
      <c r="I11" s="32" t="s">
        <v>378</v>
      </c>
      <c r="J11" s="32" t="s">
        <v>379</v>
      </c>
      <c r="K11" s="32" t="s">
        <v>380</v>
      </c>
    </row>
    <row r="12" spans="1:11" ht="94.5" customHeight="1" x14ac:dyDescent="0.3">
      <c r="A12" s="30" t="s">
        <v>381</v>
      </c>
      <c r="B12" s="3" t="s">
        <v>382</v>
      </c>
      <c r="C12" s="3" t="s">
        <v>383</v>
      </c>
      <c r="D12" s="3" t="s">
        <v>384</v>
      </c>
      <c r="E12" s="3" t="s">
        <v>385</v>
      </c>
      <c r="F12" s="3" t="s">
        <v>386</v>
      </c>
      <c r="G12" s="3" t="s">
        <v>387</v>
      </c>
      <c r="H12" s="3" t="s">
        <v>388</v>
      </c>
      <c r="I12" s="3" t="s">
        <v>389</v>
      </c>
      <c r="J12" s="3" t="s">
        <v>390</v>
      </c>
      <c r="K12" s="3" t="s">
        <v>391</v>
      </c>
    </row>
  </sheetData>
  <mergeCells count="12">
    <mergeCell ref="A1:K1"/>
    <mergeCell ref="A2:K2"/>
    <mergeCell ref="B4:C4"/>
    <mergeCell ref="D4:E4"/>
    <mergeCell ref="F4:G4"/>
    <mergeCell ref="H4:I4"/>
    <mergeCell ref="J4:K4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K1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37" t="s">
        <v>392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.75" customHeight="1" x14ac:dyDescent="0.3">
      <c r="A2" s="38" t="s">
        <v>393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4" t="s">
        <v>303</v>
      </c>
      <c r="B4" s="50" t="s">
        <v>304</v>
      </c>
      <c r="C4" s="50"/>
      <c r="D4" s="51" t="s">
        <v>305</v>
      </c>
      <c r="E4" s="51"/>
      <c r="F4" s="52" t="s">
        <v>306</v>
      </c>
      <c r="G4" s="52"/>
      <c r="H4" s="53" t="s">
        <v>307</v>
      </c>
      <c r="I4" s="53"/>
      <c r="J4" s="54" t="s">
        <v>308</v>
      </c>
      <c r="K4" s="54"/>
    </row>
    <row r="5" spans="1:11" ht="39.75" customHeight="1" x14ac:dyDescent="0.3">
      <c r="A5" s="24" t="s">
        <v>309</v>
      </c>
      <c r="B5" s="25" t="s">
        <v>310</v>
      </c>
      <c r="C5" s="25" t="s">
        <v>311</v>
      </c>
      <c r="D5" s="26" t="s">
        <v>312</v>
      </c>
      <c r="E5" s="26" t="s">
        <v>313</v>
      </c>
      <c r="F5" s="27" t="s">
        <v>314</v>
      </c>
      <c r="G5" s="27" t="s">
        <v>315</v>
      </c>
      <c r="H5" s="28" t="s">
        <v>316</v>
      </c>
      <c r="I5" s="28" t="s">
        <v>317</v>
      </c>
      <c r="J5" s="29" t="s">
        <v>318</v>
      </c>
      <c r="K5" s="29" t="s">
        <v>319</v>
      </c>
    </row>
    <row r="6" spans="1:11" ht="54.75" customHeight="1" x14ac:dyDescent="0.3">
      <c r="A6" s="30" t="s">
        <v>320</v>
      </c>
      <c r="B6" s="49" t="s">
        <v>394</v>
      </c>
      <c r="C6" s="49"/>
      <c r="D6" s="49" t="s">
        <v>395</v>
      </c>
      <c r="E6" s="49"/>
      <c r="F6" s="49" t="s">
        <v>396</v>
      </c>
      <c r="G6" s="49"/>
      <c r="H6" s="49" t="s">
        <v>397</v>
      </c>
      <c r="I6" s="49"/>
      <c r="J6" s="49" t="s">
        <v>398</v>
      </c>
      <c r="K6" s="49"/>
    </row>
    <row r="7" spans="1:11" ht="94.5" customHeight="1" x14ac:dyDescent="0.3">
      <c r="A7" s="30" t="s">
        <v>399</v>
      </c>
      <c r="B7" s="2" t="s">
        <v>400</v>
      </c>
      <c r="C7" s="2" t="s">
        <v>401</v>
      </c>
      <c r="D7" s="2" t="s">
        <v>402</v>
      </c>
      <c r="E7" s="2" t="s">
        <v>403</v>
      </c>
      <c r="F7" s="2" t="s">
        <v>404</v>
      </c>
      <c r="G7" s="2" t="s">
        <v>405</v>
      </c>
      <c r="H7" s="2" t="s">
        <v>406</v>
      </c>
      <c r="I7" s="2" t="s">
        <v>407</v>
      </c>
      <c r="J7" s="2" t="s">
        <v>408</v>
      </c>
      <c r="K7" s="2" t="s">
        <v>409</v>
      </c>
    </row>
    <row r="8" spans="1:11" ht="94.5" customHeight="1" x14ac:dyDescent="0.3">
      <c r="A8" s="30" t="s">
        <v>337</v>
      </c>
      <c r="B8" s="2" t="s">
        <v>410</v>
      </c>
      <c r="C8" s="2" t="s">
        <v>411</v>
      </c>
      <c r="D8" s="2" t="s">
        <v>412</v>
      </c>
      <c r="E8" s="2" t="s">
        <v>413</v>
      </c>
      <c r="F8" s="2" t="s">
        <v>414</v>
      </c>
      <c r="G8" s="2" t="s">
        <v>415</v>
      </c>
      <c r="H8" s="2" t="s">
        <v>416</v>
      </c>
      <c r="I8" s="2" t="s">
        <v>417</v>
      </c>
      <c r="J8" s="2" t="s">
        <v>418</v>
      </c>
      <c r="K8" s="2" t="s">
        <v>419</v>
      </c>
    </row>
    <row r="9" spans="1:11" ht="94.5" customHeight="1" x14ac:dyDescent="0.3">
      <c r="A9" s="30" t="s">
        <v>420</v>
      </c>
      <c r="B9" s="2" t="s">
        <v>421</v>
      </c>
      <c r="C9" s="2" t="s">
        <v>422</v>
      </c>
      <c r="D9" s="2" t="s">
        <v>423</v>
      </c>
      <c r="E9" s="2" t="s">
        <v>424</v>
      </c>
      <c r="F9" s="2" t="s">
        <v>425</v>
      </c>
      <c r="G9" s="2" t="s">
        <v>426</v>
      </c>
      <c r="H9" s="2" t="s">
        <v>427</v>
      </c>
      <c r="I9" s="2" t="s">
        <v>428</v>
      </c>
      <c r="J9" s="2" t="s">
        <v>429</v>
      </c>
      <c r="K9" s="2" t="s">
        <v>430</v>
      </c>
    </row>
    <row r="10" spans="1:11" ht="94.5" customHeight="1" x14ac:dyDescent="0.3">
      <c r="A10" s="30" t="s">
        <v>431</v>
      </c>
      <c r="B10" s="32" t="s">
        <v>432</v>
      </c>
      <c r="C10" s="32" t="s">
        <v>433</v>
      </c>
      <c r="D10" s="32" t="s">
        <v>434</v>
      </c>
      <c r="E10" s="32" t="s">
        <v>435</v>
      </c>
      <c r="F10" s="32" t="s">
        <v>375</v>
      </c>
      <c r="G10" s="32" t="s">
        <v>436</v>
      </c>
      <c r="H10" s="32" t="s">
        <v>437</v>
      </c>
      <c r="I10" s="32" t="s">
        <v>438</v>
      </c>
      <c r="J10" s="32" t="s">
        <v>439</v>
      </c>
      <c r="K10" s="32" t="s">
        <v>440</v>
      </c>
    </row>
    <row r="11" spans="1:11" ht="94.5" customHeight="1" x14ac:dyDescent="0.3">
      <c r="A11" s="30" t="s">
        <v>441</v>
      </c>
      <c r="B11" s="33" t="s">
        <v>442</v>
      </c>
      <c r="C11" s="33" t="s">
        <v>443</v>
      </c>
      <c r="D11" s="33" t="s">
        <v>444</v>
      </c>
      <c r="E11" s="33" t="s">
        <v>445</v>
      </c>
      <c r="F11" s="33" t="s">
        <v>446</v>
      </c>
      <c r="G11" s="33" t="s">
        <v>447</v>
      </c>
      <c r="H11" s="33" t="s">
        <v>448</v>
      </c>
      <c r="I11" s="33" t="s">
        <v>449</v>
      </c>
      <c r="J11" s="33" t="s">
        <v>450</v>
      </c>
      <c r="K11" s="33" t="s">
        <v>451</v>
      </c>
    </row>
    <row r="12" spans="1:11" ht="94.5" customHeight="1" x14ac:dyDescent="0.3">
      <c r="A12" s="30" t="s">
        <v>452</v>
      </c>
      <c r="B12" s="3" t="s">
        <v>453</v>
      </c>
      <c r="C12" s="3" t="s">
        <v>454</v>
      </c>
      <c r="D12" s="3" t="s">
        <v>455</v>
      </c>
      <c r="E12" s="3" t="s">
        <v>455</v>
      </c>
      <c r="F12" s="3" t="s">
        <v>456</v>
      </c>
      <c r="G12" s="3" t="s">
        <v>457</v>
      </c>
      <c r="H12" s="3" t="s">
        <v>458</v>
      </c>
      <c r="I12" s="3" t="s">
        <v>459</v>
      </c>
      <c r="J12" s="3" t="s">
        <v>460</v>
      </c>
      <c r="K12" s="3" t="s">
        <v>461</v>
      </c>
    </row>
  </sheetData>
  <mergeCells count="12">
    <mergeCell ref="A1:K1"/>
    <mergeCell ref="A2:K2"/>
    <mergeCell ref="B4:C4"/>
    <mergeCell ref="D4:E4"/>
    <mergeCell ref="F4:G4"/>
    <mergeCell ref="H4:I4"/>
    <mergeCell ref="J4:K4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K1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37" t="s">
        <v>462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.75" customHeight="1" x14ac:dyDescent="0.3">
      <c r="A2" s="38" t="s">
        <v>463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4" t="s">
        <v>303</v>
      </c>
      <c r="B4" s="50" t="s">
        <v>304</v>
      </c>
      <c r="C4" s="50"/>
      <c r="D4" s="51" t="s">
        <v>305</v>
      </c>
      <c r="E4" s="51"/>
      <c r="F4" s="52" t="s">
        <v>306</v>
      </c>
      <c r="G4" s="52"/>
      <c r="H4" s="53" t="s">
        <v>307</v>
      </c>
      <c r="I4" s="53"/>
      <c r="J4" s="54" t="s">
        <v>308</v>
      </c>
      <c r="K4" s="54"/>
    </row>
    <row r="5" spans="1:11" ht="39.75" customHeight="1" x14ac:dyDescent="0.3">
      <c r="A5" s="24" t="s">
        <v>309</v>
      </c>
      <c r="B5" s="25" t="s">
        <v>310</v>
      </c>
      <c r="C5" s="25" t="s">
        <v>311</v>
      </c>
      <c r="D5" s="26" t="s">
        <v>312</v>
      </c>
      <c r="E5" s="26" t="s">
        <v>313</v>
      </c>
      <c r="F5" s="27" t="s">
        <v>314</v>
      </c>
      <c r="G5" s="27" t="s">
        <v>315</v>
      </c>
      <c r="H5" s="28" t="s">
        <v>316</v>
      </c>
      <c r="I5" s="28" t="s">
        <v>317</v>
      </c>
      <c r="J5" s="29" t="s">
        <v>318</v>
      </c>
      <c r="K5" s="29" t="s">
        <v>319</v>
      </c>
    </row>
    <row r="6" spans="1:11" ht="75" customHeight="1" x14ac:dyDescent="0.3">
      <c r="A6" s="30" t="s">
        <v>464</v>
      </c>
      <c r="B6" s="2" t="s">
        <v>465</v>
      </c>
      <c r="C6" s="2" t="s">
        <v>466</v>
      </c>
      <c r="D6" s="2" t="s">
        <v>467</v>
      </c>
      <c r="E6" s="2" t="s">
        <v>468</v>
      </c>
      <c r="F6" s="2" t="s">
        <v>469</v>
      </c>
      <c r="G6" s="2" t="s">
        <v>470</v>
      </c>
      <c r="H6" s="2" t="s">
        <v>471</v>
      </c>
      <c r="I6" s="2" t="s">
        <v>472</v>
      </c>
      <c r="J6" s="2" t="s">
        <v>473</v>
      </c>
      <c r="K6" s="2" t="s">
        <v>474</v>
      </c>
    </row>
    <row r="7" spans="1:11" ht="75" customHeight="1" x14ac:dyDescent="0.3">
      <c r="A7" s="30" t="s">
        <v>337</v>
      </c>
      <c r="B7" s="2" t="s">
        <v>338</v>
      </c>
      <c r="C7" s="2" t="s">
        <v>339</v>
      </c>
      <c r="D7" s="2" t="s">
        <v>340</v>
      </c>
      <c r="E7" s="2" t="s">
        <v>341</v>
      </c>
      <c r="F7" s="2" t="s">
        <v>342</v>
      </c>
      <c r="G7" s="2" t="s">
        <v>343</v>
      </c>
      <c r="H7" s="2" t="s">
        <v>344</v>
      </c>
      <c r="I7" s="2" t="s">
        <v>345</v>
      </c>
      <c r="J7" s="2" t="s">
        <v>346</v>
      </c>
      <c r="K7" s="2" t="s">
        <v>347</v>
      </c>
    </row>
    <row r="8" spans="1:11" ht="15.75" customHeight="1" x14ac:dyDescent="0.3">
      <c r="A8" s="55" t="s">
        <v>475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84.75" customHeight="1" x14ac:dyDescent="0.3">
      <c r="A9" s="30" t="s">
        <v>476</v>
      </c>
      <c r="B9" s="34" t="s">
        <v>477</v>
      </c>
      <c r="C9" s="34" t="s">
        <v>478</v>
      </c>
      <c r="D9" s="34" t="s">
        <v>479</v>
      </c>
      <c r="E9" s="34" t="s">
        <v>480</v>
      </c>
      <c r="F9" s="34" t="s">
        <v>481</v>
      </c>
      <c r="G9" s="34" t="s">
        <v>482</v>
      </c>
      <c r="H9" s="34" t="s">
        <v>483</v>
      </c>
      <c r="I9" s="34" t="s">
        <v>484</v>
      </c>
      <c r="J9" s="34" t="s">
        <v>485</v>
      </c>
      <c r="K9" s="34" t="s">
        <v>486</v>
      </c>
    </row>
    <row r="10" spans="1:11" ht="15.75" customHeight="1" x14ac:dyDescent="0.3">
      <c r="A10" s="55" t="s">
        <v>487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</row>
    <row r="11" spans="1:11" ht="84.75" customHeight="1" x14ac:dyDescent="0.3">
      <c r="A11" s="30" t="s">
        <v>488</v>
      </c>
      <c r="B11" s="35" t="s">
        <v>489</v>
      </c>
      <c r="C11" s="35" t="s">
        <v>490</v>
      </c>
      <c r="D11" s="35" t="s">
        <v>491</v>
      </c>
      <c r="E11" s="35" t="s">
        <v>492</v>
      </c>
      <c r="F11" s="35" t="s">
        <v>493</v>
      </c>
      <c r="G11" s="35" t="s">
        <v>494</v>
      </c>
      <c r="H11" s="35" t="s">
        <v>495</v>
      </c>
      <c r="I11" s="35" t="s">
        <v>496</v>
      </c>
      <c r="J11" s="35" t="s">
        <v>497</v>
      </c>
      <c r="K11" s="35" t="s">
        <v>498</v>
      </c>
    </row>
    <row r="12" spans="1:11" ht="15.75" customHeight="1" x14ac:dyDescent="0.3">
      <c r="A12" s="55" t="s">
        <v>499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1" ht="75" customHeight="1" x14ac:dyDescent="0.3">
      <c r="A13" s="30" t="s">
        <v>500</v>
      </c>
      <c r="B13" s="2" t="s">
        <v>501</v>
      </c>
      <c r="C13" s="2" t="s">
        <v>502</v>
      </c>
      <c r="D13" s="2" t="s">
        <v>503</v>
      </c>
      <c r="E13" s="2" t="s">
        <v>504</v>
      </c>
      <c r="F13" s="2" t="s">
        <v>505</v>
      </c>
      <c r="G13" s="2" t="s">
        <v>506</v>
      </c>
      <c r="H13" s="2" t="s">
        <v>507</v>
      </c>
      <c r="I13" s="2" t="s">
        <v>261</v>
      </c>
      <c r="J13" s="2" t="s">
        <v>508</v>
      </c>
      <c r="K13" s="2" t="s">
        <v>509</v>
      </c>
    </row>
    <row r="14" spans="1:11" ht="84.75" customHeight="1" x14ac:dyDescent="0.3">
      <c r="A14" s="30" t="s">
        <v>510</v>
      </c>
      <c r="B14" s="31" t="s">
        <v>511</v>
      </c>
      <c r="C14" s="31" t="s">
        <v>512</v>
      </c>
      <c r="D14" s="31" t="s">
        <v>513</v>
      </c>
      <c r="E14" s="31" t="s">
        <v>514</v>
      </c>
      <c r="F14" s="31" t="s">
        <v>515</v>
      </c>
      <c r="G14" s="31" t="s">
        <v>516</v>
      </c>
      <c r="H14" s="31" t="s">
        <v>517</v>
      </c>
      <c r="I14" s="31" t="s">
        <v>518</v>
      </c>
      <c r="J14" s="31" t="s">
        <v>519</v>
      </c>
      <c r="K14" s="31" t="s">
        <v>520</v>
      </c>
    </row>
    <row r="16" spans="1:11" ht="39.75" customHeight="1" x14ac:dyDescent="0.3">
      <c r="A16" s="39" t="s">
        <v>521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</row>
  </sheetData>
  <mergeCells count="11">
    <mergeCell ref="A8:K8"/>
    <mergeCell ref="A10:K10"/>
    <mergeCell ref="A12:K12"/>
    <mergeCell ref="A16:K1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tabSelected="1" zoomScaleNormal="100" workbookViewId="0">
      <selection sqref="A1:F1"/>
    </sheetView>
  </sheetViews>
  <sheetFormatPr baseColWidth="10" defaultColWidth="8.6640625" defaultRowHeight="14.4" x14ac:dyDescent="0.3"/>
  <cols>
    <col min="1" max="1" width="4" customWidth="1"/>
    <col min="2" max="3" width="40" customWidth="1"/>
    <col min="4" max="4" width="26" customWidth="1"/>
    <col min="5" max="6" width="16" customWidth="1"/>
  </cols>
  <sheetData>
    <row r="1" spans="1:6" ht="25.5" customHeight="1" x14ac:dyDescent="0.3">
      <c r="A1" s="37" t="s">
        <v>522</v>
      </c>
      <c r="B1" s="37"/>
      <c r="C1" s="37"/>
      <c r="D1" s="37"/>
      <c r="E1" s="37"/>
      <c r="F1" s="37"/>
    </row>
    <row r="2" spans="1:6" ht="15.75" customHeight="1" x14ac:dyDescent="0.3">
      <c r="A2" s="38" t="s">
        <v>523</v>
      </c>
      <c r="B2" s="38"/>
      <c r="C2" s="38"/>
      <c r="D2" s="38"/>
      <c r="E2" s="38"/>
      <c r="F2" s="38"/>
    </row>
    <row r="4" spans="1:6" ht="27.75" customHeight="1" x14ac:dyDescent="0.3">
      <c r="A4" s="1" t="s">
        <v>89</v>
      </c>
      <c r="B4" s="1" t="s">
        <v>524</v>
      </c>
      <c r="C4" s="1" t="s">
        <v>525</v>
      </c>
      <c r="D4" s="1" t="s">
        <v>526</v>
      </c>
      <c r="E4" s="1" t="s">
        <v>527</v>
      </c>
      <c r="F4" s="1" t="s">
        <v>528</v>
      </c>
    </row>
    <row r="5" spans="1:6" ht="69.75" customHeight="1" x14ac:dyDescent="0.3">
      <c r="A5" s="10">
        <v>1</v>
      </c>
      <c r="B5" s="2" t="s">
        <v>277</v>
      </c>
      <c r="C5" s="2" t="s">
        <v>529</v>
      </c>
      <c r="D5" s="10" t="s">
        <v>530</v>
      </c>
      <c r="E5" s="14" t="s">
        <v>531</v>
      </c>
      <c r="F5" s="36" t="s">
        <v>532</v>
      </c>
    </row>
    <row r="6" spans="1:6" ht="69.75" customHeight="1" x14ac:dyDescent="0.3">
      <c r="A6" s="10">
        <v>2</v>
      </c>
      <c r="B6" s="2" t="s">
        <v>278</v>
      </c>
      <c r="C6" s="2" t="s">
        <v>533</v>
      </c>
      <c r="D6" s="10" t="s">
        <v>534</v>
      </c>
      <c r="E6" s="14" t="s">
        <v>531</v>
      </c>
      <c r="F6" s="36" t="s">
        <v>535</v>
      </c>
    </row>
    <row r="7" spans="1:6" ht="69.75" customHeight="1" x14ac:dyDescent="0.3">
      <c r="A7" s="10">
        <v>3</v>
      </c>
      <c r="B7" s="2" t="s">
        <v>279</v>
      </c>
      <c r="C7" s="2" t="s">
        <v>536</v>
      </c>
      <c r="D7" s="10" t="s">
        <v>537</v>
      </c>
      <c r="E7" s="14" t="s">
        <v>531</v>
      </c>
      <c r="F7" s="36" t="s">
        <v>535</v>
      </c>
    </row>
    <row r="8" spans="1:6" ht="69.75" customHeight="1" x14ac:dyDescent="0.3">
      <c r="A8" s="10">
        <v>4</v>
      </c>
      <c r="B8" s="2" t="s">
        <v>280</v>
      </c>
      <c r="C8" s="2" t="s">
        <v>538</v>
      </c>
      <c r="D8" s="10" t="s">
        <v>539</v>
      </c>
      <c r="E8" s="13" t="s">
        <v>51</v>
      </c>
      <c r="F8" s="36" t="s">
        <v>532</v>
      </c>
    </row>
    <row r="9" spans="1:6" ht="69.75" customHeight="1" x14ac:dyDescent="0.3">
      <c r="A9" s="10">
        <v>5</v>
      </c>
      <c r="B9" s="2" t="s">
        <v>540</v>
      </c>
      <c r="C9" s="2" t="s">
        <v>541</v>
      </c>
      <c r="D9" s="10" t="s">
        <v>537</v>
      </c>
      <c r="E9" s="14" t="s">
        <v>531</v>
      </c>
      <c r="F9" s="36" t="s">
        <v>535</v>
      </c>
    </row>
  </sheetData>
  <mergeCells count="2">
    <mergeCell ref="A1:F1"/>
    <mergeCell ref="A2:F2"/>
  </mergeCells>
  <dataValidations count="1">
    <dataValidation type="list" allowBlank="1" sqref="F5:F9" xr:uid="{00000000-0002-0000-0800-000000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Guía</vt:lpstr>
      <vt:lpstr>Buyer Persona</vt:lpstr>
      <vt:lpstr>Reseñas y Encuesta</vt:lpstr>
      <vt:lpstr>Respuestas Encuesta</vt:lpstr>
      <vt:lpstr>Indicadores</vt:lpstr>
      <vt:lpstr>Customer Journey Map</vt:lpstr>
      <vt:lpstr>Customer Journey Map (To Be)</vt:lpstr>
      <vt:lpstr>Service Blueprint</vt:lpstr>
      <vt:lpstr>Insights y Oportunidades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 Vera</cp:lastModifiedBy>
  <cp:revision>0</cp:revision>
  <dcterms:created xsi:type="dcterms:W3CDTF">2026-09-14T14:21:07Z</dcterms:created>
  <dcterms:modified xsi:type="dcterms:W3CDTF">2026-09-24T18:19:41Z</dcterms:modified>
  <dc:language>en-US</dc:language>
</cp:coreProperties>
</file>